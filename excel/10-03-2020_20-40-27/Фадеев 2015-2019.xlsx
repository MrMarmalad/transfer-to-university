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5" yWindow="300" windowWidth="19440" windowHeight="10350" firstSheet="1" activeTab="1"/>
  </bookViews>
  <sheets>
    <sheet name="График Учебного процесса" sheetId="25" r:id="rId1"/>
    <sheet name="План учебного процесса" sheetId="16" r:id="rId2"/>
    <sheet name="Сводные данные" sheetId="15" r:id="rId3"/>
  </sheets>
  <definedNames>
    <definedName name="_xlnm.Print_Titles" localSheetId="1">'План учебного процесса'!$1:$7</definedName>
  </definedNames>
  <calcPr calcId="145621"/>
</workbook>
</file>

<file path=xl/calcChain.xml><?xml version="1.0" encoding="utf-8"?>
<calcChain xmlns="http://schemas.openxmlformats.org/spreadsheetml/2006/main">
  <c r="K62" i="16"/>
  <c r="K34" l="1"/>
  <c r="K32"/>
  <c r="K16"/>
  <c r="K45" l="1"/>
  <c r="K23" l="1"/>
  <c r="K20"/>
  <c r="K25"/>
  <c r="K26"/>
  <c r="M31" l="1"/>
  <c r="M9"/>
  <c r="N51"/>
  <c r="M51"/>
  <c r="L51"/>
  <c r="J51"/>
  <c r="H51"/>
  <c r="N31"/>
  <c r="L31"/>
  <c r="H31"/>
  <c r="K33"/>
  <c r="K35"/>
  <c r="K36"/>
  <c r="K38"/>
  <c r="K39"/>
  <c r="K40"/>
  <c r="K41"/>
  <c r="K42"/>
  <c r="K43"/>
  <c r="K44"/>
  <c r="K46"/>
  <c r="K47"/>
  <c r="K48"/>
  <c r="K49"/>
  <c r="K37"/>
  <c r="G47"/>
  <c r="K19"/>
  <c r="G19"/>
  <c r="J31" l="1"/>
  <c r="K72"/>
  <c r="G72"/>
  <c r="G34" l="1"/>
  <c r="G36"/>
  <c r="G37"/>
  <c r="G38"/>
  <c r="G39"/>
  <c r="G40"/>
  <c r="G44"/>
  <c r="G45"/>
  <c r="G46"/>
  <c r="G48"/>
  <c r="G17" l="1"/>
  <c r="K12" l="1"/>
  <c r="K68"/>
  <c r="G68"/>
  <c r="K60"/>
  <c r="G60"/>
  <c r="K58"/>
  <c r="G58"/>
  <c r="H82"/>
  <c r="H79"/>
  <c r="N9" l="1"/>
  <c r="L9"/>
  <c r="H9"/>
  <c r="K70"/>
  <c r="G70"/>
  <c r="K66"/>
  <c r="G66"/>
  <c r="K64"/>
  <c r="G64"/>
  <c r="K56"/>
  <c r="G56"/>
  <c r="G54"/>
  <c r="G52" l="1"/>
  <c r="G51" s="1"/>
  <c r="G33"/>
  <c r="K31"/>
  <c r="G32"/>
  <c r="G28"/>
  <c r="K27"/>
  <c r="G25"/>
  <c r="K24"/>
  <c r="G24"/>
  <c r="K22"/>
  <c r="G22"/>
  <c r="K21"/>
  <c r="G21"/>
  <c r="K18"/>
  <c r="G18"/>
  <c r="K17"/>
  <c r="G16"/>
  <c r="K15"/>
  <c r="G15"/>
  <c r="K14"/>
  <c r="G14"/>
  <c r="K13"/>
  <c r="G13"/>
  <c r="G31" l="1"/>
  <c r="K52"/>
  <c r="K51" s="1"/>
  <c r="J76"/>
  <c r="H76" s="1"/>
  <c r="G79"/>
  <c r="G83"/>
  <c r="G84"/>
  <c r="G86"/>
  <c r="H86"/>
  <c r="I18" i="15"/>
  <c r="G82" i="16" l="1"/>
  <c r="G78" s="1"/>
  <c r="G77" s="1"/>
  <c r="H78"/>
  <c r="H77" s="1"/>
  <c r="I21" i="15"/>
  <c r="R24" l="1"/>
  <c r="R22"/>
  <c r="R19"/>
  <c r="J11" i="16" l="1"/>
  <c r="G11"/>
  <c r="K11" l="1"/>
  <c r="J9"/>
  <c r="M30"/>
  <c r="M8" s="1"/>
  <c r="M75" s="1"/>
  <c r="G9" l="1"/>
  <c r="K10"/>
  <c r="K9" s="1"/>
  <c r="P12" i="15" l="1"/>
  <c r="O12"/>
  <c r="H12"/>
  <c r="G12"/>
  <c r="L30" i="16" l="1"/>
  <c r="L8" s="1"/>
  <c r="L75" s="1"/>
  <c r="H30"/>
  <c r="H8" s="1"/>
  <c r="H75" s="1"/>
  <c r="K30"/>
  <c r="G30"/>
  <c r="N30"/>
  <c r="N8" s="1"/>
  <c r="N75" s="1"/>
  <c r="K8" l="1"/>
  <c r="K75" s="1"/>
  <c r="J30"/>
  <c r="J8" s="1"/>
  <c r="J75" s="1"/>
  <c r="G8"/>
  <c r="G75" s="1"/>
</calcChain>
</file>

<file path=xl/sharedStrings.xml><?xml version="1.0" encoding="utf-8"?>
<sst xmlns="http://schemas.openxmlformats.org/spreadsheetml/2006/main" count="402" uniqueCount="266">
  <si>
    <t>КР</t>
  </si>
  <si>
    <t>Физическая культура</t>
  </si>
  <si>
    <t>Философия</t>
  </si>
  <si>
    <t>Всего</t>
  </si>
  <si>
    <t>УТВЕРЖДАЮ</t>
  </si>
  <si>
    <t>СОГЛАСОВАНО</t>
  </si>
  <si>
    <t>Число курсовых работ</t>
  </si>
  <si>
    <t>Число экзаменов</t>
  </si>
  <si>
    <t>Безопасность жизнедеятельности</t>
  </si>
  <si>
    <t>Выпускная квалификационная работа</t>
  </si>
  <si>
    <t>Государственный экзамен</t>
  </si>
  <si>
    <t>Базовая часть</t>
  </si>
  <si>
    <t>Семестр</t>
  </si>
  <si>
    <t>Итого</t>
  </si>
  <si>
    <t>Иностранный язык</t>
  </si>
  <si>
    <t>СРС</t>
  </si>
  <si>
    <t>Число зачётов</t>
  </si>
  <si>
    <t>18н</t>
  </si>
  <si>
    <t>2с</t>
  </si>
  <si>
    <t>3с</t>
  </si>
  <si>
    <t>4с</t>
  </si>
  <si>
    <t>5с</t>
  </si>
  <si>
    <t>6с</t>
  </si>
  <si>
    <t>7с</t>
  </si>
  <si>
    <t>8с</t>
  </si>
  <si>
    <t>1с</t>
  </si>
  <si>
    <t>ФТД</t>
  </si>
  <si>
    <t>Рассмотрен и одобрен  Учёным советом  МГТУ ГА</t>
  </si>
  <si>
    <t>Проректор по УМР  к.э.н., доцент</t>
  </si>
  <si>
    <t>Экза-мены</t>
  </si>
  <si>
    <t>Аудит.</t>
  </si>
  <si>
    <t>Лек-ции</t>
  </si>
  <si>
    <t>Практич. и семин. занятия</t>
  </si>
  <si>
    <t>Факультативы</t>
  </si>
  <si>
    <t>*</t>
  </si>
  <si>
    <t>Трудоёмкость</t>
  </si>
  <si>
    <t>Распределение часов по видам занятий</t>
  </si>
  <si>
    <t>Распределение часов по курсам и семестрам</t>
  </si>
  <si>
    <t>Наименование учебных дисциплин</t>
  </si>
  <si>
    <t>В зач. ед.</t>
  </si>
  <si>
    <t>В часах</t>
  </si>
  <si>
    <t>в зач. ед.</t>
  </si>
  <si>
    <t>в неделях</t>
  </si>
  <si>
    <t>С Е М Е С Т Р Ы</t>
  </si>
  <si>
    <t>Число зачётных единиц</t>
  </si>
  <si>
    <t>Число аудиторных часов</t>
  </si>
  <si>
    <t>Число зачётов с оценкой</t>
  </si>
  <si>
    <t>"___"______________201_ г., протокол  № ______</t>
  </si>
  <si>
    <t>Вариативная часть</t>
  </si>
  <si>
    <t>Дисциплины по выбору</t>
  </si>
  <si>
    <t>ИТОГО</t>
  </si>
  <si>
    <t>__________________</t>
  </si>
  <si>
    <t xml:space="preserve">и аттестации (по семестрам) </t>
  </si>
  <si>
    <t xml:space="preserve">    (в зачётных единицах)</t>
  </si>
  <si>
    <t>VI. Сводные данные по трудоёмкости, аудиторным занятиям</t>
  </si>
  <si>
    <t>часы / отчётности</t>
  </si>
  <si>
    <t>Обязательные дисциплины</t>
  </si>
  <si>
    <t>х</t>
  </si>
  <si>
    <t>История авиации и космонавтики</t>
  </si>
  <si>
    <t>Зачётные единицы /</t>
  </si>
  <si>
    <t>КП</t>
  </si>
  <si>
    <t>Информатика</t>
  </si>
  <si>
    <t>Практики</t>
  </si>
  <si>
    <t>Государственная итоговая аттестация</t>
  </si>
  <si>
    <t>Дисциплины (модули)</t>
  </si>
  <si>
    <t>Б1</t>
  </si>
  <si>
    <t>Б1.Б</t>
  </si>
  <si>
    <t>Б1.В</t>
  </si>
  <si>
    <t>Б1.В.ДВ</t>
  </si>
  <si>
    <t>Б2</t>
  </si>
  <si>
    <t>Б3</t>
  </si>
  <si>
    <t xml:space="preserve">Б1 </t>
  </si>
  <si>
    <t>Индекс</t>
  </si>
  <si>
    <t>Зачёты / зач. с оценкой (д)</t>
  </si>
  <si>
    <t>Аттестация           (семестр)</t>
  </si>
  <si>
    <t>I курс</t>
  </si>
  <si>
    <t>II курс</t>
  </si>
  <si>
    <t>III курс</t>
  </si>
  <si>
    <t>IV курс</t>
  </si>
  <si>
    <t>Б1.Б.1</t>
  </si>
  <si>
    <t>Б1.Б.2</t>
  </si>
  <si>
    <t>Б1.Б.3</t>
  </si>
  <si>
    <t>Б1.Б.4</t>
  </si>
  <si>
    <t>Б1.Б.5</t>
  </si>
  <si>
    <t>Б1.Б.6</t>
  </si>
  <si>
    <t>Б1.Б.7</t>
  </si>
  <si>
    <t>Б1.Б.8</t>
  </si>
  <si>
    <t>Б1.Б.9</t>
  </si>
  <si>
    <t>Б1.Б.10</t>
  </si>
  <si>
    <t>Вариативная часть, в том числе дисциплины по выбору</t>
  </si>
  <si>
    <t>Б1.В.ОД</t>
  </si>
  <si>
    <t>Б1.В.ОД.1</t>
  </si>
  <si>
    <t>Б1.В.ОД.2</t>
  </si>
  <si>
    <t>Б1.В.ОД.3</t>
  </si>
  <si>
    <t>Б1.В.ОД.4</t>
  </si>
  <si>
    <t>Б1.В.ОД.5</t>
  </si>
  <si>
    <t>Б1.В.ДВ.1.1</t>
  </si>
  <si>
    <t>Б1.В.ДВ.1.2</t>
  </si>
  <si>
    <t>Б1.В.ДВ.2.1</t>
  </si>
  <si>
    <t>Б1.В.ДВ.2.2</t>
  </si>
  <si>
    <t>Б2.В</t>
  </si>
  <si>
    <t>Б1.Б.11</t>
  </si>
  <si>
    <t>Б1.Б.12</t>
  </si>
  <si>
    <t>Б1.Б.13</t>
  </si>
  <si>
    <t>Б1.Б.14</t>
  </si>
  <si>
    <t>Б1.Б.15</t>
  </si>
  <si>
    <t>Б1.Б.16</t>
  </si>
  <si>
    <t>Б1.Б.17</t>
  </si>
  <si>
    <t>Б1.В.ДВ.3.1</t>
  </si>
  <si>
    <t>Б1.В.ДВ.3.2</t>
  </si>
  <si>
    <t>Б1.В.ДВ.4.1</t>
  </si>
  <si>
    <t>Б1.В.ДВ.4.2</t>
  </si>
  <si>
    <t>Б1.В.ДВ.5.1</t>
  </si>
  <si>
    <t>Б1.В.ДВ.5.2</t>
  </si>
  <si>
    <t>Б1.В.ДВ.7.1</t>
  </si>
  <si>
    <t>Б1.В.ДВ.7.2</t>
  </si>
  <si>
    <t>Б1.В.ДВ.8.1</t>
  </si>
  <si>
    <t>Б1.В.ДВ.8.2</t>
  </si>
  <si>
    <t>Б1.В.ДВ.9.1</t>
  </si>
  <si>
    <t>Б1.В.ДВ.9.2</t>
  </si>
  <si>
    <t>Б1.В.ДВ.10.1</t>
  </si>
  <si>
    <t>Б1.В.ДВ.10.2</t>
  </si>
  <si>
    <t>Б1.В.ОД.6</t>
  </si>
  <si>
    <t>Б1.В.ОД.7</t>
  </si>
  <si>
    <t>Б1.В.ОД.8</t>
  </si>
  <si>
    <t>Б1.В.ОД.9</t>
  </si>
  <si>
    <t>Б1.В.ОД.10</t>
  </si>
  <si>
    <t>Б1.В.ОД.11</t>
  </si>
  <si>
    <t>Б1.В.ОД.12</t>
  </si>
  <si>
    <t>Б1.В.ОД.13</t>
  </si>
  <si>
    <t>Б1.В.ОД.14</t>
  </si>
  <si>
    <t>Б1.В.ОД.15</t>
  </si>
  <si>
    <t>Б2.В.У</t>
  </si>
  <si>
    <t>Б2.В.П</t>
  </si>
  <si>
    <t>Б2.В.У.1</t>
  </si>
  <si>
    <t>Б2.В.П.1</t>
  </si>
  <si>
    <t>Б2.В.П.2</t>
  </si>
  <si>
    <t>Учебные практики</t>
  </si>
  <si>
    <t>Производственные практики</t>
  </si>
  <si>
    <t>А.С. Борзова</t>
  </si>
  <si>
    <t>И.А. Еланцев</t>
  </si>
  <si>
    <t>Начальник Учебно-методического управления  к.т.н., доцент</t>
  </si>
  <si>
    <t>Б1.В.ОД.16</t>
  </si>
  <si>
    <t>Б1.В.ОД.17</t>
  </si>
  <si>
    <t>Б1.В.ОД.18</t>
  </si>
  <si>
    <t>Б2.В.У.2</t>
  </si>
  <si>
    <t>ФЕДЕРАЛЬНОЕ АГЕНТСТВО ВОЗДУШНОГО ТРАНСПОРТА</t>
  </si>
  <si>
    <t>Число курсовых проектов</t>
  </si>
  <si>
    <t>8н</t>
  </si>
  <si>
    <t>Операционные системы</t>
  </si>
  <si>
    <t>Программирование</t>
  </si>
  <si>
    <t>Сети и телекоммуникации</t>
  </si>
  <si>
    <t>Базы данных</t>
  </si>
  <si>
    <t>Технология программирования</t>
  </si>
  <si>
    <t>ЭВМ и периферийные устройства</t>
  </si>
  <si>
    <t>Интерфейсы вычислительных систем</t>
  </si>
  <si>
    <t>Теория автоматов</t>
  </si>
  <si>
    <t>Программирование на машинно- ориентированном языке</t>
  </si>
  <si>
    <t>Архитектура компьютерных вычислительных систем</t>
  </si>
  <si>
    <t>Моделирование вычислительных систем и сетей</t>
  </si>
  <si>
    <t>Программирование сетевых приложений</t>
  </si>
  <si>
    <t>Основы электротехники и схемотехническое моделирование</t>
  </si>
  <si>
    <t>Интернет-технологии</t>
  </si>
  <si>
    <t>Дискретная математика</t>
  </si>
  <si>
    <t>Теория вероятностей и математическая статистика</t>
  </si>
  <si>
    <t>Управление проектами в КИС</t>
  </si>
  <si>
    <t>Экономика</t>
  </si>
  <si>
    <t>Верификация и проверка качества ПО</t>
  </si>
  <si>
    <t>Метрология, стандартизация и сертификация</t>
  </si>
  <si>
    <t>Основы жизнедеятельности IT- специалиста</t>
  </si>
  <si>
    <t>Теория информации и кодирования</t>
  </si>
  <si>
    <t>Основы системного анализа</t>
  </si>
  <si>
    <t>Теория принятия решения</t>
  </si>
  <si>
    <t>Методы оптимизации</t>
  </si>
  <si>
    <t>5д</t>
  </si>
  <si>
    <t>Физическая культура:  по выбору обучающихся (элективная дисциплина)</t>
  </si>
  <si>
    <t>Спортивное совершенствование по видам спорта</t>
  </si>
  <si>
    <t>Декан ФПМВТ  к.т.н., доцент</t>
  </si>
  <si>
    <t>Н.И. Романчева</t>
  </si>
  <si>
    <t>Основы деловой этики и социального взаимодействия</t>
  </si>
  <si>
    <t>Основы педагогики</t>
  </si>
  <si>
    <t>Перевод в сфере профессиональных коммуникаций</t>
  </si>
  <si>
    <t>Культура речи</t>
  </si>
  <si>
    <t>Аэрологистика</t>
  </si>
  <si>
    <t>Основы логистики</t>
  </si>
  <si>
    <t>Автоматизированные системы обработки информации в ГА</t>
  </si>
  <si>
    <t>Разработка человеко-машинных интерфейсов</t>
  </si>
  <si>
    <t>Системы документирования ПО ВС и АСУ</t>
  </si>
  <si>
    <t>Методическое обеспечение ПО ВС и АСУ</t>
  </si>
  <si>
    <t>Правовые основы информатики и интеллектуальная собственность</t>
  </si>
  <si>
    <t>Информационное право</t>
  </si>
  <si>
    <t>Автоматизированные системы ОрВД</t>
  </si>
  <si>
    <t>ERP- системы в ГА</t>
  </si>
  <si>
    <t>Распределенные информационные системы ГА</t>
  </si>
  <si>
    <t>Автоматизированные системы организации и  управления на ВТ</t>
  </si>
  <si>
    <t>Физика</t>
  </si>
  <si>
    <t>2д</t>
  </si>
  <si>
    <t>Б1.Б.18</t>
  </si>
  <si>
    <t>Русский язык как иностранный</t>
  </si>
  <si>
    <t>Программирование в 1С</t>
  </si>
  <si>
    <t>История России</t>
  </si>
  <si>
    <t>Математика. Математический анализ</t>
  </si>
  <si>
    <t>Математика. Алгебра и геометрия</t>
  </si>
  <si>
    <t>Основы права</t>
  </si>
  <si>
    <t>Инженерная и компьютерная графика</t>
  </si>
  <si>
    <t>Культурология</t>
  </si>
  <si>
    <t>Б1.Б.19</t>
  </si>
  <si>
    <t>Экология</t>
  </si>
  <si>
    <t>Математическая логика и теория алгоритмов</t>
  </si>
  <si>
    <t>Основы информационной безопасности</t>
  </si>
  <si>
    <t>7д</t>
  </si>
  <si>
    <t>Лаб. работы</t>
  </si>
  <si>
    <t>1,2,3,5,6</t>
  </si>
  <si>
    <t>IV. Данные по Учебной и Производственной практикам и Государственной итоговой аттестации</t>
  </si>
  <si>
    <t>V. Трудоёмкость по блокам</t>
  </si>
  <si>
    <t>Блок</t>
  </si>
  <si>
    <t>Одобрен на заседании Методического совета по направлению подготовки 09.03.01   "___"______________201_ г., протокол  №______</t>
  </si>
  <si>
    <t>Председатель Методического совета по направлению подготовки 09.03.01  д.т.н., профессор   __________________</t>
  </si>
  <si>
    <t>О.Г Феоктистова</t>
  </si>
  <si>
    <t>Всего теоретическое обучение                                 (по блоку Б1)</t>
  </si>
  <si>
    <t>Системное программное обеспечение</t>
  </si>
  <si>
    <t>Государственный экзамен (подготовка к сдаче и сдача государственного экзамена)</t>
  </si>
  <si>
    <t>Выпускная квалификационная работа (подготовка к защите и процедура защиты ВКР)</t>
  </si>
  <si>
    <t>___________________</t>
  </si>
  <si>
    <t>О.Г. Феоктистова</t>
  </si>
  <si>
    <t>ФТД.1</t>
  </si>
  <si>
    <t>ФТД.2</t>
  </si>
  <si>
    <t>ФТД.3</t>
  </si>
  <si>
    <t>Заведующий профилирующей кафедрой ВМКСС  д.т.н., профессор</t>
  </si>
  <si>
    <t>Учебная 1. Практика по получению первичных  профессиональных умений и навыков, в том числе первичных умений и навыков научно-исследовательской деятельности в области нечисловой обработки данных</t>
  </si>
  <si>
    <t xml:space="preserve">Учебная 2. Практика по получению первичных  профессиональных умений и навыков, в том числе первичных умений и навыков научно-исследовательской деятельности в области программного обеспечения средств вычислительной техники </t>
  </si>
  <si>
    <t>Производственная 1. Практика по получению профессиональных  умений и опыта профессиональной деятельности в разработке моделей баз данных</t>
  </si>
  <si>
    <t>Производственная 2. Преддипломная практика</t>
  </si>
  <si>
    <t xml:space="preserve">Учебная 1 </t>
  </si>
  <si>
    <t xml:space="preserve">Учебная 2 </t>
  </si>
  <si>
    <t xml:space="preserve">Производственная 1 </t>
  </si>
  <si>
    <t>Производственная 2</t>
  </si>
  <si>
    <t>Тип практики</t>
  </si>
  <si>
    <t xml:space="preserve">Учебные практики </t>
  </si>
  <si>
    <t xml:space="preserve">Производственные практики </t>
  </si>
  <si>
    <t>Технология block-chain как элемент цифровой трансформации</t>
  </si>
  <si>
    <t>6д</t>
  </si>
  <si>
    <t>ФТД.4</t>
  </si>
  <si>
    <t>Б1.В.ДВ.6.1</t>
  </si>
  <si>
    <t>Б1.В.ДВ.6.2</t>
  </si>
  <si>
    <t>Б1.В.ДВ.11.1</t>
  </si>
  <si>
    <t>Б1.В.ДВ.11.2</t>
  </si>
  <si>
    <t>Алгоритмическое обеспечение АСУ</t>
  </si>
  <si>
    <t>Проректор по УМР</t>
  </si>
  <si>
    <t>Борзова А.С.</t>
  </si>
  <si>
    <t>(Фамилия,И.О., подпись)</t>
  </si>
  <si>
    <t>"___" _________________201  г.</t>
  </si>
  <si>
    <t>Федеральное государственное бюджетное образовательное учреждение высшего образования</t>
  </si>
  <si>
    <t>"МОСКОВСКИЙ ГОСУДАРСТВЕННЫЙ ТЕХНИЧЕСКИЙ УНИВЕРСИТЕТ ГРАЖДАНСКОЙ АВИАЦИИ" (МГТУ ГА)</t>
  </si>
  <si>
    <t>ИНДИВИДУАЛЬНЫЙ УЧЕБНЫЙ ПЛАН</t>
  </si>
  <si>
    <t xml:space="preserve"> (Фамилия,И.О. обучающегося)</t>
  </si>
  <si>
    <t>Направление/специальность</t>
  </si>
  <si>
    <t>09.03.01 Информатика и вычислительная техника</t>
  </si>
  <si>
    <t xml:space="preserve">                                                                </t>
  </si>
  <si>
    <t xml:space="preserve"> Форма обучения:</t>
  </si>
  <si>
    <t>очная</t>
  </si>
  <si>
    <t>Фадеев Глеб Александрович</t>
  </si>
  <si>
    <t>Декан факультета</t>
  </si>
  <si>
    <t>Начальник УМУ</t>
  </si>
  <si>
    <t>Переаттестовано (перезачтено)</t>
  </si>
  <si>
    <t>III. План учебного процесса Фадеев Г.А.</t>
  </si>
</sst>
</file>

<file path=xl/styles.xml><?xml version="1.0" encoding="utf-8"?>
<styleSheet xmlns="http://schemas.openxmlformats.org/spreadsheetml/2006/main">
  <fonts count="36">
    <font>
      <sz val="10"/>
      <name val="Arial Cyr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name val="Arial Cyr"/>
      <charset val="204"/>
    </font>
    <font>
      <b/>
      <i/>
      <sz val="10"/>
      <name val="Arial"/>
      <family val="2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b/>
      <i/>
      <sz val="9"/>
      <name val="Arial Cyr"/>
      <charset val="204"/>
    </font>
    <font>
      <b/>
      <i/>
      <sz val="11"/>
      <name val="Arial"/>
      <family val="2"/>
      <charset val="204"/>
    </font>
    <font>
      <b/>
      <i/>
      <sz val="11"/>
      <name val="Arial Cyr"/>
      <charset val="204"/>
    </font>
    <font>
      <sz val="9"/>
      <color rgb="FFFF0000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 Cyr"/>
      <charset val="204"/>
    </font>
    <font>
      <sz val="8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10"/>
      <color rgb="FFFF0000"/>
      <name val="Arial Cyr"/>
      <charset val="204"/>
    </font>
    <font>
      <b/>
      <i/>
      <sz val="9"/>
      <color theme="1"/>
      <name val="Arial"/>
      <family val="2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charset val="204"/>
    </font>
    <font>
      <sz val="12"/>
      <color theme="1"/>
      <name val="Arial"/>
      <family val="2"/>
      <charset val="204"/>
    </font>
    <font>
      <u/>
      <sz val="9"/>
      <name val="Arial"/>
      <family val="2"/>
      <charset val="204"/>
    </font>
    <font>
      <i/>
      <sz val="10"/>
      <name val="Arial"/>
      <family val="2"/>
      <charset val="204"/>
    </font>
    <font>
      <b/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1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5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/>
    <xf numFmtId="0" fontId="0" fillId="0" borderId="0" xfId="0" applyFont="1"/>
    <xf numFmtId="0" fontId="8" fillId="0" borderId="0" xfId="0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0" fillId="0" borderId="0" xfId="0" applyFill="1"/>
    <xf numFmtId="0" fontId="2" fillId="0" borderId="0" xfId="0" applyFont="1" applyFill="1"/>
    <xf numFmtId="0" fontId="5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5" fillId="0" borderId="0" xfId="0" applyFont="1" applyBorder="1" applyAlignment="1">
      <alignment horizontal="center" vertical="top"/>
    </xf>
    <xf numFmtId="0" fontId="0" fillId="0" borderId="0" xfId="0" applyFont="1" applyFill="1"/>
    <xf numFmtId="0" fontId="6" fillId="0" borderId="1" xfId="0" applyFont="1" applyFill="1" applyBorder="1" applyAlignment="1">
      <alignment horizontal="center" vertical="top"/>
    </xf>
    <xf numFmtId="3" fontId="6" fillId="0" borderId="5" xfId="0" applyNumberFormat="1" applyFont="1" applyFill="1" applyBorder="1" applyAlignment="1">
      <alignment horizontal="center" vertical="top" wrapText="1"/>
    </xf>
    <xf numFmtId="3" fontId="6" fillId="0" borderId="1" xfId="0" applyNumberFormat="1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/>
    </xf>
    <xf numFmtId="3" fontId="6" fillId="0" borderId="3" xfId="0" applyNumberFormat="1" applyFont="1" applyFill="1" applyBorder="1" applyAlignment="1">
      <alignment horizontal="center" vertical="top" wrapText="1"/>
    </xf>
    <xf numFmtId="0" fontId="9" fillId="0" borderId="115" xfId="0" applyFont="1" applyFill="1" applyBorder="1" applyAlignment="1">
      <alignment wrapText="1"/>
    </xf>
    <xf numFmtId="0" fontId="9" fillId="0" borderId="116" xfId="0" applyNumberFormat="1" applyFont="1" applyFill="1" applyBorder="1" applyAlignment="1">
      <alignment horizontal="center" vertical="top"/>
    </xf>
    <xf numFmtId="0" fontId="9" fillId="0" borderId="117" xfId="0" applyNumberFormat="1" applyFont="1" applyFill="1" applyBorder="1" applyAlignment="1">
      <alignment horizontal="center" vertical="top"/>
    </xf>
    <xf numFmtId="0" fontId="9" fillId="0" borderId="119" xfId="0" applyFont="1" applyFill="1" applyBorder="1" applyAlignment="1">
      <alignment wrapText="1"/>
    </xf>
    <xf numFmtId="0" fontId="3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9" fillId="0" borderId="118" xfId="0" applyNumberFormat="1" applyFont="1" applyFill="1" applyBorder="1" applyAlignment="1">
      <alignment horizontal="center" vertical="top"/>
    </xf>
    <xf numFmtId="0" fontId="9" fillId="0" borderId="120" xfId="0" applyNumberFormat="1" applyFont="1" applyFill="1" applyBorder="1" applyAlignment="1">
      <alignment horizontal="center" vertical="top"/>
    </xf>
    <xf numFmtId="3" fontId="9" fillId="0" borderId="39" xfId="0" applyNumberFormat="1" applyFont="1" applyFill="1" applyBorder="1" applyAlignment="1">
      <alignment horizontal="center" vertical="top"/>
    </xf>
    <xf numFmtId="3" fontId="9" fillId="0" borderId="35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15" fillId="0" borderId="1" xfId="0" applyNumberFormat="1" applyFont="1" applyFill="1" applyBorder="1" applyAlignment="1">
      <alignment horizontal="center" vertical="top"/>
    </xf>
    <xf numFmtId="0" fontId="15" fillId="0" borderId="3" xfId="0" applyNumberFormat="1" applyFont="1" applyFill="1" applyBorder="1" applyAlignment="1">
      <alignment horizontal="center" vertical="top"/>
    </xf>
    <xf numFmtId="0" fontId="15" fillId="0" borderId="5" xfId="0" applyNumberFormat="1" applyFont="1" applyFill="1" applyBorder="1" applyAlignment="1">
      <alignment horizontal="center" vertical="top"/>
    </xf>
    <xf numFmtId="0" fontId="15" fillId="0" borderId="3" xfId="0" applyFont="1" applyFill="1" applyBorder="1" applyAlignment="1">
      <alignment horizontal="center" vertical="top"/>
    </xf>
    <xf numFmtId="0" fontId="15" fillId="0" borderId="1" xfId="0" applyFont="1" applyFill="1" applyBorder="1" applyAlignment="1">
      <alignment horizontal="center" vertical="top"/>
    </xf>
    <xf numFmtId="0" fontId="15" fillId="0" borderId="77" xfId="0" applyFont="1" applyFill="1" applyBorder="1" applyAlignment="1">
      <alignment horizontal="center" vertical="top"/>
    </xf>
    <xf numFmtId="0" fontId="15" fillId="0" borderId="31" xfId="0" applyFont="1" applyBorder="1" applyAlignment="1">
      <alignment horizontal="center" vertical="top"/>
    </xf>
    <xf numFmtId="0" fontId="15" fillId="0" borderId="27" xfId="0" applyFont="1" applyBorder="1" applyAlignment="1">
      <alignment horizontal="center" vertical="top"/>
    </xf>
    <xf numFmtId="0" fontId="15" fillId="0" borderId="28" xfId="0" applyFont="1" applyBorder="1" applyAlignment="1">
      <alignment horizontal="center" vertical="top"/>
    </xf>
    <xf numFmtId="0" fontId="15" fillId="0" borderId="29" xfId="0" applyFont="1" applyBorder="1" applyAlignment="1">
      <alignment horizontal="center" vertical="top"/>
    </xf>
    <xf numFmtId="0" fontId="16" fillId="0" borderId="1" xfId="0" applyFont="1" applyFill="1" applyBorder="1" applyAlignment="1">
      <alignment horizontal="center" vertical="top"/>
    </xf>
    <xf numFmtId="0" fontId="16" fillId="0" borderId="13" xfId="0" applyFont="1" applyFill="1" applyBorder="1" applyAlignment="1">
      <alignment horizontal="center" vertical="top"/>
    </xf>
    <xf numFmtId="0" fontId="16" fillId="0" borderId="81" xfId="0" applyFont="1" applyFill="1" applyBorder="1" applyAlignment="1">
      <alignment horizontal="center" vertical="top"/>
    </xf>
    <xf numFmtId="0" fontId="16" fillId="0" borderId="18" xfId="0" applyFont="1" applyFill="1" applyBorder="1" applyAlignment="1">
      <alignment horizontal="center" vertical="top"/>
    </xf>
    <xf numFmtId="0" fontId="0" fillId="0" borderId="1" xfId="0" applyBorder="1"/>
    <xf numFmtId="0" fontId="20" fillId="0" borderId="7" xfId="0" applyFont="1" applyFill="1" applyBorder="1" applyAlignment="1">
      <alignment horizontal="center" vertical="top"/>
    </xf>
    <xf numFmtId="0" fontId="20" fillId="0" borderId="21" xfId="0" applyFont="1" applyFill="1" applyBorder="1" applyAlignment="1">
      <alignment horizontal="center" vertical="top"/>
    </xf>
    <xf numFmtId="0" fontId="20" fillId="0" borderId="1" xfId="0" applyFont="1" applyFill="1" applyBorder="1" applyAlignment="1">
      <alignment horizontal="center" vertical="top"/>
    </xf>
    <xf numFmtId="0" fontId="20" fillId="0" borderId="3" xfId="0" applyFont="1" applyFill="1" applyBorder="1" applyAlignment="1">
      <alignment horizontal="center" vertical="top"/>
    </xf>
    <xf numFmtId="0" fontId="15" fillId="0" borderId="13" xfId="0" applyNumberFormat="1" applyFont="1" applyFill="1" applyBorder="1" applyAlignment="1">
      <alignment horizontal="center" vertical="top"/>
    </xf>
    <xf numFmtId="0" fontId="15" fillId="0" borderId="19" xfId="0" applyNumberFormat="1" applyFont="1" applyFill="1" applyBorder="1" applyAlignment="1">
      <alignment horizontal="center" vertical="top"/>
    </xf>
    <xf numFmtId="0" fontId="15" fillId="0" borderId="26" xfId="0" applyFont="1" applyBorder="1" applyAlignment="1">
      <alignment horizontal="center" vertical="top"/>
    </xf>
    <xf numFmtId="0" fontId="16" fillId="0" borderId="8" xfId="0" applyNumberFormat="1" applyFont="1" applyFill="1" applyBorder="1" applyAlignment="1">
      <alignment horizontal="center" vertical="top"/>
    </xf>
    <xf numFmtId="0" fontId="16" fillId="0" borderId="5" xfId="0" applyNumberFormat="1" applyFont="1" applyFill="1" applyBorder="1" applyAlignment="1">
      <alignment horizontal="center" vertical="top"/>
    </xf>
    <xf numFmtId="0" fontId="16" fillId="0" borderId="3" xfId="0" applyNumberFormat="1" applyFont="1" applyFill="1" applyBorder="1" applyAlignment="1">
      <alignment horizontal="center" vertical="top"/>
    </xf>
    <xf numFmtId="0" fontId="16" fillId="0" borderId="1" xfId="0" applyNumberFormat="1" applyFont="1" applyFill="1" applyBorder="1" applyAlignment="1">
      <alignment horizontal="center" vertical="top"/>
    </xf>
    <xf numFmtId="0" fontId="16" fillId="0" borderId="3" xfId="0" applyFont="1" applyFill="1" applyBorder="1" applyAlignment="1">
      <alignment horizontal="center" vertical="top"/>
    </xf>
    <xf numFmtId="0" fontId="19" fillId="0" borderId="48" xfId="0" applyFont="1" applyFill="1" applyBorder="1" applyAlignment="1">
      <alignment horizontal="center" vertical="top" wrapText="1"/>
    </xf>
    <xf numFmtId="0" fontId="16" fillId="0" borderId="16" xfId="0" applyFont="1" applyFill="1" applyBorder="1" applyAlignment="1">
      <alignment horizontal="center" vertical="top"/>
    </xf>
    <xf numFmtId="3" fontId="9" fillId="0" borderId="34" xfId="0" applyNumberFormat="1" applyFont="1" applyFill="1" applyBorder="1" applyAlignment="1">
      <alignment horizontal="center" vertical="top"/>
    </xf>
    <xf numFmtId="3" fontId="6" fillId="0" borderId="8" xfId="0" applyNumberFormat="1" applyFont="1" applyFill="1" applyBorder="1" applyAlignment="1">
      <alignment horizontal="center" vertical="top" wrapText="1"/>
    </xf>
    <xf numFmtId="0" fontId="15" fillId="0" borderId="25" xfId="0" applyFont="1" applyBorder="1" applyAlignment="1">
      <alignment horizontal="center" vertical="top"/>
    </xf>
    <xf numFmtId="0" fontId="5" fillId="0" borderId="39" xfId="0" applyFont="1" applyFill="1" applyBorder="1" applyAlignment="1">
      <alignment horizontal="center" vertical="top"/>
    </xf>
    <xf numFmtId="0" fontId="5" fillId="0" borderId="35" xfId="0" applyFont="1" applyFill="1" applyBorder="1" applyAlignment="1">
      <alignment horizontal="center" vertical="top"/>
    </xf>
    <xf numFmtId="0" fontId="5" fillId="0" borderId="46" xfId="0" applyFont="1" applyFill="1" applyBorder="1" applyAlignment="1">
      <alignment horizontal="center" vertical="top"/>
    </xf>
    <xf numFmtId="0" fontId="6" fillId="0" borderId="5" xfId="0" applyFont="1" applyFill="1" applyBorder="1" applyAlignment="1">
      <alignment horizontal="center" vertical="top"/>
    </xf>
    <xf numFmtId="0" fontId="15" fillId="0" borderId="16" xfId="0" applyNumberFormat="1" applyFont="1" applyFill="1" applyBorder="1" applyAlignment="1">
      <alignment horizontal="center" vertical="top"/>
    </xf>
    <xf numFmtId="3" fontId="21" fillId="0" borderId="8" xfId="0" applyNumberFormat="1" applyFont="1" applyFill="1" applyBorder="1" applyAlignment="1">
      <alignment horizontal="center" vertical="top"/>
    </xf>
    <xf numFmtId="3" fontId="21" fillId="0" borderId="5" xfId="0" applyNumberFormat="1" applyFont="1" applyFill="1" applyBorder="1" applyAlignment="1">
      <alignment horizontal="center" vertical="top"/>
    </xf>
    <xf numFmtId="3" fontId="21" fillId="0" borderId="3" xfId="0" applyNumberFormat="1" applyFont="1" applyFill="1" applyBorder="1" applyAlignment="1">
      <alignment horizontal="center" vertical="top"/>
    </xf>
    <xf numFmtId="3" fontId="21" fillId="0" borderId="1" xfId="0" applyNumberFormat="1" applyFont="1" applyFill="1" applyBorder="1" applyAlignment="1">
      <alignment horizontal="center" vertical="top"/>
    </xf>
    <xf numFmtId="0" fontId="19" fillId="0" borderId="66" xfId="0" applyFont="1" applyFill="1" applyBorder="1" applyAlignment="1">
      <alignment horizontal="left" vertical="top" wrapText="1"/>
    </xf>
    <xf numFmtId="0" fontId="16" fillId="0" borderId="49" xfId="0" applyFont="1" applyFill="1" applyBorder="1" applyAlignment="1">
      <alignment horizontal="center" vertical="top" wrapText="1"/>
    </xf>
    <xf numFmtId="0" fontId="16" fillId="0" borderId="41" xfId="0" applyFont="1" applyFill="1" applyBorder="1" applyAlignment="1">
      <alignment horizontal="center" vertical="top" wrapText="1"/>
    </xf>
    <xf numFmtId="0" fontId="16" fillId="0" borderId="41" xfId="0" applyFont="1" applyFill="1" applyBorder="1" applyAlignment="1">
      <alignment horizontal="center" vertical="top"/>
    </xf>
    <xf numFmtId="0" fontId="16" fillId="0" borderId="54" xfId="0" applyFont="1" applyFill="1" applyBorder="1" applyAlignment="1">
      <alignment horizontal="center" vertical="top"/>
    </xf>
    <xf numFmtId="0" fontId="19" fillId="0" borderId="51" xfId="0" applyFont="1" applyFill="1" applyBorder="1" applyAlignment="1">
      <alignment horizontal="center" vertical="top" wrapText="1"/>
    </xf>
    <xf numFmtId="0" fontId="16" fillId="0" borderId="49" xfId="0" applyFont="1" applyFill="1" applyBorder="1" applyAlignment="1">
      <alignment horizontal="center" vertical="top"/>
    </xf>
    <xf numFmtId="0" fontId="16" fillId="0" borderId="52" xfId="0" applyFont="1" applyFill="1" applyBorder="1" applyAlignment="1">
      <alignment horizontal="center" vertical="top"/>
    </xf>
    <xf numFmtId="0" fontId="21" fillId="0" borderId="36" xfId="0" applyFont="1" applyFill="1" applyBorder="1" applyAlignment="1">
      <alignment horizontal="left" vertical="top" wrapText="1"/>
    </xf>
    <xf numFmtId="0" fontId="16" fillId="0" borderId="20" xfId="0" applyFont="1" applyFill="1" applyBorder="1" applyAlignment="1">
      <alignment horizontal="center" vertical="top" wrapText="1"/>
    </xf>
    <xf numFmtId="0" fontId="16" fillId="0" borderId="15" xfId="0" applyFont="1" applyFill="1" applyBorder="1" applyAlignment="1">
      <alignment horizontal="center" vertical="top" wrapText="1"/>
    </xf>
    <xf numFmtId="0" fontId="16" fillId="0" borderId="15" xfId="0" applyFont="1" applyFill="1" applyBorder="1" applyAlignment="1">
      <alignment horizontal="center" vertical="top"/>
    </xf>
    <xf numFmtId="0" fontId="16" fillId="0" borderId="44" xfId="0" applyFont="1" applyFill="1" applyBorder="1" applyAlignment="1">
      <alignment horizontal="center" vertical="top"/>
    </xf>
    <xf numFmtId="0" fontId="21" fillId="0" borderId="60" xfId="0" applyFont="1" applyFill="1" applyBorder="1" applyAlignment="1">
      <alignment horizontal="center" vertical="top" wrapText="1"/>
    </xf>
    <xf numFmtId="0" fontId="21" fillId="0" borderId="23" xfId="0" applyFont="1" applyFill="1" applyBorder="1" applyAlignment="1">
      <alignment horizontal="center" vertical="top" wrapText="1"/>
    </xf>
    <xf numFmtId="0" fontId="16" fillId="0" borderId="20" xfId="0" applyFont="1" applyFill="1" applyBorder="1" applyAlignment="1">
      <alignment horizontal="center" vertical="top"/>
    </xf>
    <xf numFmtId="0" fontId="18" fillId="0" borderId="21" xfId="0" applyFont="1" applyFill="1" applyBorder="1" applyAlignment="1">
      <alignment horizontal="center" vertical="top"/>
    </xf>
    <xf numFmtId="0" fontId="18" fillId="0" borderId="7" xfId="0" applyFont="1" applyFill="1" applyBorder="1" applyAlignment="1">
      <alignment horizontal="center" vertical="top"/>
    </xf>
    <xf numFmtId="0" fontId="21" fillId="0" borderId="18" xfId="0" applyFont="1" applyFill="1" applyBorder="1" applyAlignment="1">
      <alignment horizontal="center" vertical="top" wrapText="1"/>
    </xf>
    <xf numFmtId="0" fontId="21" fillId="0" borderId="13" xfId="0" applyFont="1" applyFill="1" applyBorder="1" applyAlignment="1">
      <alignment horizontal="center" vertical="top" wrapText="1"/>
    </xf>
    <xf numFmtId="0" fontId="21" fillId="0" borderId="13" xfId="0" applyFont="1" applyFill="1" applyBorder="1" applyAlignment="1">
      <alignment horizontal="center" vertical="top"/>
    </xf>
    <xf numFmtId="0" fontId="21" fillId="0" borderId="17" xfId="0" applyFont="1" applyFill="1" applyBorder="1" applyAlignment="1">
      <alignment horizontal="center" vertical="top"/>
    </xf>
    <xf numFmtId="0" fontId="21" fillId="0" borderId="68" xfId="0" applyFont="1" applyFill="1" applyBorder="1" applyAlignment="1">
      <alignment horizontal="center" vertical="top" wrapText="1"/>
    </xf>
    <xf numFmtId="0" fontId="21" fillId="0" borderId="19" xfId="0" applyFont="1" applyFill="1" applyBorder="1" applyAlignment="1">
      <alignment horizontal="center" vertical="top" wrapText="1"/>
    </xf>
    <xf numFmtId="3" fontId="16" fillId="0" borderId="13" xfId="0" applyNumberFormat="1" applyFont="1" applyFill="1" applyBorder="1" applyAlignment="1">
      <alignment horizontal="center" vertical="top"/>
    </xf>
    <xf numFmtId="0" fontId="16" fillId="0" borderId="17" xfId="0" applyFont="1" applyFill="1" applyBorder="1" applyAlignment="1">
      <alignment horizontal="center" vertical="top"/>
    </xf>
    <xf numFmtId="0" fontId="21" fillId="0" borderId="1" xfId="0" applyFont="1" applyFill="1" applyBorder="1" applyAlignment="1">
      <alignment horizontal="center" vertical="top"/>
    </xf>
    <xf numFmtId="0" fontId="16" fillId="0" borderId="86" xfId="0" applyFont="1" applyFill="1" applyBorder="1" applyAlignment="1">
      <alignment horizontal="center" vertical="top" wrapText="1"/>
    </xf>
    <xf numFmtId="0" fontId="16" fillId="0" borderId="36" xfId="0" applyFont="1" applyFill="1" applyBorder="1" applyAlignment="1">
      <alignment horizontal="left" vertical="top" wrapText="1"/>
    </xf>
    <xf numFmtId="0" fontId="16" fillId="0" borderId="18" xfId="0" applyFont="1" applyFill="1" applyBorder="1" applyAlignment="1">
      <alignment horizontal="center" vertical="top" wrapText="1"/>
    </xf>
    <xf numFmtId="0" fontId="16" fillId="0" borderId="13" xfId="0" applyFont="1" applyFill="1" applyBorder="1" applyAlignment="1">
      <alignment horizontal="center" vertical="top" wrapText="1"/>
    </xf>
    <xf numFmtId="0" fontId="16" fillId="0" borderId="68" xfId="0" applyFont="1" applyFill="1" applyBorder="1" applyAlignment="1">
      <alignment horizontal="center" vertical="top" wrapText="1"/>
    </xf>
    <xf numFmtId="0" fontId="16" fillId="0" borderId="19" xfId="0" applyFont="1" applyFill="1" applyBorder="1" applyAlignment="1">
      <alignment horizontal="center" vertical="top" wrapText="1"/>
    </xf>
    <xf numFmtId="0" fontId="18" fillId="0" borderId="13" xfId="0" applyFont="1" applyFill="1" applyBorder="1" applyAlignment="1">
      <alignment horizontal="center" vertical="top"/>
    </xf>
    <xf numFmtId="0" fontId="16" fillId="0" borderId="37" xfId="0" applyFont="1" applyFill="1" applyBorder="1" applyAlignment="1">
      <alignment horizontal="center" vertical="top"/>
    </xf>
    <xf numFmtId="0" fontId="16" fillId="0" borderId="2" xfId="0" applyFont="1" applyFill="1" applyBorder="1" applyAlignment="1">
      <alignment horizontal="left" vertical="top" wrapText="1"/>
    </xf>
    <xf numFmtId="0" fontId="16" fillId="0" borderId="50" xfId="0" applyFont="1" applyFill="1" applyBorder="1" applyAlignment="1">
      <alignment horizontal="center" vertical="top" wrapText="1"/>
    </xf>
    <xf numFmtId="0" fontId="22" fillId="0" borderId="95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left" vertical="top" wrapText="1"/>
    </xf>
    <xf numFmtId="0" fontId="19" fillId="0" borderId="62" xfId="0" applyFont="1" applyFill="1" applyBorder="1" applyAlignment="1">
      <alignment horizontal="center" vertical="top" wrapText="1"/>
    </xf>
    <xf numFmtId="0" fontId="19" fillId="0" borderId="33" xfId="0" applyFont="1" applyFill="1" applyBorder="1" applyAlignment="1">
      <alignment horizontal="center" vertical="top" wrapText="1"/>
    </xf>
    <xf numFmtId="0" fontId="16" fillId="0" borderId="12" xfId="0" applyFont="1" applyFill="1" applyBorder="1" applyAlignment="1">
      <alignment horizontal="center" vertical="top"/>
    </xf>
    <xf numFmtId="0" fontId="16" fillId="0" borderId="0" xfId="0" applyFont="1" applyFill="1" applyBorder="1" applyAlignment="1">
      <alignment horizontal="center" vertical="top"/>
    </xf>
    <xf numFmtId="0" fontId="23" fillId="0" borderId="86" xfId="0" applyFont="1" applyFill="1" applyBorder="1" applyAlignment="1">
      <alignment horizontal="center" vertical="top" wrapText="1"/>
    </xf>
    <xf numFmtId="0" fontId="16" fillId="0" borderId="24" xfId="0" applyFont="1" applyFill="1" applyBorder="1" applyAlignment="1">
      <alignment horizontal="left" vertical="top" wrapText="1"/>
    </xf>
    <xf numFmtId="0" fontId="16" fillId="0" borderId="31" xfId="0" applyFont="1" applyFill="1" applyBorder="1" applyAlignment="1">
      <alignment horizontal="center" vertical="top" wrapText="1"/>
    </xf>
    <xf numFmtId="0" fontId="16" fillId="0" borderId="27" xfId="0" applyFont="1" applyFill="1" applyBorder="1" applyAlignment="1">
      <alignment horizontal="center" vertical="top" wrapText="1"/>
    </xf>
    <xf numFmtId="0" fontId="16" fillId="0" borderId="27" xfId="0" applyFont="1" applyFill="1" applyBorder="1" applyAlignment="1">
      <alignment horizontal="center" vertical="top"/>
    </xf>
    <xf numFmtId="0" fontId="16" fillId="0" borderId="28" xfId="0" applyFont="1" applyFill="1" applyBorder="1" applyAlignment="1">
      <alignment horizontal="center" vertical="top"/>
    </xf>
    <xf numFmtId="0" fontId="16" fillId="0" borderId="29" xfId="0" applyFont="1" applyFill="1" applyBorder="1" applyAlignment="1">
      <alignment horizontal="center" vertical="top" wrapText="1"/>
    </xf>
    <xf numFmtId="0" fontId="16" fillId="0" borderId="31" xfId="0" applyFont="1" applyFill="1" applyBorder="1" applyAlignment="1">
      <alignment horizontal="center" vertical="top"/>
    </xf>
    <xf numFmtId="0" fontId="16" fillId="0" borderId="26" xfId="0" applyFont="1" applyFill="1" applyBorder="1" applyAlignment="1">
      <alignment horizontal="center" vertical="top"/>
    </xf>
    <xf numFmtId="0" fontId="16" fillId="0" borderId="25" xfId="0" applyFont="1" applyFill="1" applyBorder="1" applyAlignment="1">
      <alignment horizontal="center" vertical="top"/>
    </xf>
    <xf numFmtId="0" fontId="23" fillId="0" borderId="82" xfId="0" applyFont="1" applyFill="1" applyBorder="1" applyAlignment="1">
      <alignment horizontal="center" vertical="top" wrapText="1"/>
    </xf>
    <xf numFmtId="0" fontId="19" fillId="0" borderId="45" xfId="0" applyFont="1" applyFill="1" applyBorder="1" applyAlignment="1">
      <alignment horizontal="left" vertical="top" wrapText="1"/>
    </xf>
    <xf numFmtId="1" fontId="19" fillId="0" borderId="69" xfId="0" applyNumberFormat="1" applyFont="1" applyFill="1" applyBorder="1" applyAlignment="1">
      <alignment horizontal="center" vertical="top" wrapText="1"/>
    </xf>
    <xf numFmtId="0" fontId="19" fillId="0" borderId="58" xfId="0" applyFont="1" applyFill="1" applyBorder="1" applyAlignment="1">
      <alignment horizontal="center" vertical="top" wrapText="1"/>
    </xf>
    <xf numFmtId="0" fontId="19" fillId="0" borderId="58" xfId="0" applyFont="1" applyFill="1" applyBorder="1" applyAlignment="1">
      <alignment horizontal="center" vertical="top"/>
    </xf>
    <xf numFmtId="0" fontId="19" fillId="0" borderId="57" xfId="0" applyFont="1" applyFill="1" applyBorder="1" applyAlignment="1">
      <alignment horizontal="center" vertical="top"/>
    </xf>
    <xf numFmtId="3" fontId="19" fillId="0" borderId="56" xfId="0" applyNumberFormat="1" applyFont="1" applyFill="1" applyBorder="1" applyAlignment="1">
      <alignment horizontal="center" vertical="top" wrapText="1"/>
    </xf>
    <xf numFmtId="3" fontId="19" fillId="0" borderId="59" xfId="0" applyNumberFormat="1" applyFont="1" applyFill="1" applyBorder="1" applyAlignment="1">
      <alignment horizontal="center" vertical="top" wrapText="1"/>
    </xf>
    <xf numFmtId="3" fontId="19" fillId="0" borderId="69" xfId="0" applyNumberFormat="1" applyFont="1" applyFill="1" applyBorder="1" applyAlignment="1">
      <alignment horizontal="center" vertical="top" wrapText="1"/>
    </xf>
    <xf numFmtId="3" fontId="19" fillId="0" borderId="58" xfId="0" applyNumberFormat="1" applyFont="1" applyFill="1" applyBorder="1" applyAlignment="1">
      <alignment horizontal="center" vertical="top" wrapText="1"/>
    </xf>
    <xf numFmtId="3" fontId="19" fillId="0" borderId="57" xfId="0" applyNumberFormat="1" applyFont="1" applyFill="1" applyBorder="1" applyAlignment="1">
      <alignment horizontal="center" vertical="top" wrapText="1"/>
    </xf>
    <xf numFmtId="0" fontId="19" fillId="0" borderId="56" xfId="0" applyFont="1" applyFill="1" applyBorder="1" applyAlignment="1">
      <alignment horizontal="center" vertical="top" wrapText="1"/>
    </xf>
    <xf numFmtId="0" fontId="19" fillId="0" borderId="83" xfId="0" applyFont="1" applyFill="1" applyBorder="1" applyAlignment="1">
      <alignment horizontal="center" vertical="top" wrapText="1"/>
    </xf>
    <xf numFmtId="0" fontId="22" fillId="0" borderId="84" xfId="0" applyFont="1" applyFill="1" applyBorder="1" applyAlignment="1">
      <alignment horizontal="center" vertical="top" wrapText="1"/>
    </xf>
    <xf numFmtId="0" fontId="21" fillId="0" borderId="132" xfId="0" applyFont="1" applyFill="1" applyBorder="1" applyAlignment="1">
      <alignment horizontal="left" vertical="top" wrapText="1"/>
    </xf>
    <xf numFmtId="0" fontId="16" fillId="0" borderId="30" xfId="0" applyFont="1" applyFill="1" applyBorder="1" applyAlignment="1">
      <alignment horizontal="center" vertical="top" wrapText="1"/>
    </xf>
    <xf numFmtId="49" fontId="21" fillId="0" borderId="40" xfId="0" applyNumberFormat="1" applyFont="1" applyFill="1" applyBorder="1" applyAlignment="1">
      <alignment horizontal="center" vertical="top" wrapText="1"/>
    </xf>
    <xf numFmtId="0" fontId="16" fillId="0" borderId="40" xfId="0" applyFont="1" applyFill="1" applyBorder="1" applyAlignment="1">
      <alignment horizontal="center" vertical="top"/>
    </xf>
    <xf numFmtId="0" fontId="16" fillId="0" borderId="53" xfId="0" applyFont="1" applyFill="1" applyBorder="1" applyAlignment="1">
      <alignment horizontal="center" vertical="top"/>
    </xf>
    <xf numFmtId="0" fontId="21" fillId="0" borderId="64" xfId="0" applyFont="1" applyFill="1" applyBorder="1" applyAlignment="1">
      <alignment horizontal="center" vertical="top" wrapText="1"/>
    </xf>
    <xf numFmtId="0" fontId="21" fillId="0" borderId="65" xfId="0" applyFont="1" applyFill="1" applyBorder="1" applyAlignment="1">
      <alignment horizontal="center" vertical="top" wrapText="1"/>
    </xf>
    <xf numFmtId="0" fontId="16" fillId="0" borderId="30" xfId="0" applyFont="1" applyFill="1" applyBorder="1" applyAlignment="1">
      <alignment horizontal="center" vertical="top"/>
    </xf>
    <xf numFmtId="0" fontId="16" fillId="0" borderId="38" xfId="0" applyFont="1" applyFill="1" applyBorder="1" applyAlignment="1">
      <alignment horizontal="center" vertical="top"/>
    </xf>
    <xf numFmtId="0" fontId="16" fillId="0" borderId="134" xfId="0" applyFont="1" applyFill="1" applyBorder="1" applyAlignment="1">
      <alignment horizontal="center" vertical="top"/>
    </xf>
    <xf numFmtId="0" fontId="16" fillId="0" borderId="87" xfId="0" applyFont="1" applyFill="1" applyBorder="1" applyAlignment="1">
      <alignment horizontal="center" vertical="top"/>
    </xf>
    <xf numFmtId="0" fontId="16" fillId="0" borderId="79" xfId="0" applyFont="1" applyFill="1" applyBorder="1" applyAlignment="1">
      <alignment horizontal="center" vertical="top"/>
    </xf>
    <xf numFmtId="0" fontId="19" fillId="0" borderId="60" xfId="0" applyFont="1" applyFill="1" applyBorder="1" applyAlignment="1">
      <alignment horizontal="center" vertical="top" wrapText="1"/>
    </xf>
    <xf numFmtId="0" fontId="15" fillId="0" borderId="50" xfId="0" applyNumberFormat="1" applyFont="1" applyFill="1" applyBorder="1" applyAlignment="1">
      <alignment horizontal="center" vertical="top"/>
    </xf>
    <xf numFmtId="0" fontId="21" fillId="0" borderId="21" xfId="0" applyFont="1" applyFill="1" applyBorder="1" applyAlignment="1">
      <alignment horizontal="center" vertical="top"/>
    </xf>
    <xf numFmtId="0" fontId="21" fillId="0" borderId="7" xfId="0" applyFont="1" applyFill="1" applyBorder="1" applyAlignment="1">
      <alignment horizontal="center" vertical="top"/>
    </xf>
    <xf numFmtId="3" fontId="21" fillId="0" borderId="6" xfId="0" applyNumberFormat="1" applyFont="1" applyFill="1" applyBorder="1" applyAlignment="1">
      <alignment horizontal="center" vertical="top" wrapText="1"/>
    </xf>
    <xf numFmtId="3" fontId="21" fillId="0" borderId="23" xfId="0" applyNumberFormat="1" applyFont="1" applyFill="1" applyBorder="1" applyAlignment="1">
      <alignment horizontal="center" vertical="top" wrapText="1"/>
    </xf>
    <xf numFmtId="3" fontId="21" fillId="0" borderId="21" xfId="0" applyNumberFormat="1" applyFont="1" applyFill="1" applyBorder="1" applyAlignment="1">
      <alignment horizontal="center" vertical="top" wrapText="1"/>
    </xf>
    <xf numFmtId="3" fontId="21" fillId="0" borderId="7" xfId="0" applyNumberFormat="1" applyFont="1" applyFill="1" applyBorder="1" applyAlignment="1">
      <alignment horizontal="center" vertical="top" wrapText="1"/>
    </xf>
    <xf numFmtId="0" fontId="21" fillId="0" borderId="96" xfId="0" applyFont="1" applyFill="1" applyBorder="1" applyAlignment="1">
      <alignment horizontal="center" vertical="top"/>
    </xf>
    <xf numFmtId="0" fontId="21" fillId="0" borderId="3" xfId="0" applyFont="1" applyFill="1" applyBorder="1" applyAlignment="1">
      <alignment horizontal="center" vertical="top"/>
    </xf>
    <xf numFmtId="3" fontId="21" fillId="0" borderId="8" xfId="0" applyNumberFormat="1" applyFont="1" applyFill="1" applyBorder="1" applyAlignment="1">
      <alignment horizontal="center" vertical="top" wrapText="1"/>
    </xf>
    <xf numFmtId="3" fontId="21" fillId="0" borderId="5" xfId="0" applyNumberFormat="1" applyFont="1" applyFill="1" applyBorder="1" applyAlignment="1">
      <alignment horizontal="center" vertical="top" wrapText="1"/>
    </xf>
    <xf numFmtId="3" fontId="21" fillId="0" borderId="3" xfId="0" applyNumberFormat="1" applyFont="1" applyFill="1" applyBorder="1" applyAlignment="1">
      <alignment horizontal="center" vertical="top" wrapText="1"/>
    </xf>
    <xf numFmtId="3" fontId="21" fillId="0" borderId="1" xfId="0" applyNumberFormat="1" applyFont="1" applyFill="1" applyBorder="1" applyAlignment="1">
      <alignment horizontal="center" vertical="top" wrapText="1"/>
    </xf>
    <xf numFmtId="0" fontId="16" fillId="0" borderId="14" xfId="0" applyNumberFormat="1" applyFont="1" applyFill="1" applyBorder="1" applyAlignment="1">
      <alignment horizontal="center" vertical="top"/>
    </xf>
    <xf numFmtId="0" fontId="16" fillId="0" borderId="4" xfId="0" applyNumberFormat="1" applyFont="1" applyFill="1" applyBorder="1" applyAlignment="1">
      <alignment horizontal="center" vertical="top"/>
    </xf>
    <xf numFmtId="0" fontId="16" fillId="0" borderId="13" xfId="0" applyNumberFormat="1" applyFont="1" applyFill="1" applyBorder="1" applyAlignment="1">
      <alignment horizontal="center" vertical="top"/>
    </xf>
    <xf numFmtId="0" fontId="16" fillId="0" borderId="19" xfId="0" applyNumberFormat="1" applyFont="1" applyFill="1" applyBorder="1" applyAlignment="1">
      <alignment horizontal="center" vertical="top"/>
    </xf>
    <xf numFmtId="0" fontId="16" fillId="0" borderId="17" xfId="0" applyNumberFormat="1" applyFont="1" applyFill="1" applyBorder="1" applyAlignment="1">
      <alignment horizontal="center" vertical="top"/>
    </xf>
    <xf numFmtId="0" fontId="16" fillId="0" borderId="18" xfId="0" applyNumberFormat="1" applyFont="1" applyFill="1" applyBorder="1" applyAlignment="1">
      <alignment horizontal="center" vertical="top"/>
    </xf>
    <xf numFmtId="0" fontId="16" fillId="0" borderId="37" xfId="0" applyNumberFormat="1" applyFont="1" applyFill="1" applyBorder="1" applyAlignment="1">
      <alignment horizontal="center" vertical="top"/>
    </xf>
    <xf numFmtId="0" fontId="20" fillId="0" borderId="23" xfId="0" applyFont="1" applyFill="1" applyBorder="1" applyAlignment="1">
      <alignment horizontal="center" vertical="top"/>
    </xf>
    <xf numFmtId="0" fontId="20" fillId="0" borderId="5" xfId="0" applyFont="1" applyFill="1" applyBorder="1" applyAlignment="1">
      <alignment horizontal="center" vertical="top"/>
    </xf>
    <xf numFmtId="0" fontId="15" fillId="0" borderId="5" xfId="0" applyFont="1" applyFill="1" applyBorder="1" applyAlignment="1">
      <alignment horizontal="center" vertical="top"/>
    </xf>
    <xf numFmtId="0" fontId="25" fillId="2" borderId="50" xfId="0" applyFont="1" applyFill="1" applyBorder="1" applyAlignment="1"/>
    <xf numFmtId="0" fontId="25" fillId="2" borderId="1" xfId="0" applyFont="1" applyFill="1" applyBorder="1" applyAlignment="1"/>
    <xf numFmtId="0" fontId="25" fillId="2" borderId="1" xfId="0" applyFont="1" applyFill="1" applyBorder="1" applyAlignment="1">
      <alignment wrapText="1"/>
    </xf>
    <xf numFmtId="0" fontId="25" fillId="2" borderId="5" xfId="0" applyFont="1" applyFill="1" applyBorder="1" applyAlignment="1">
      <alignment wrapText="1"/>
    </xf>
    <xf numFmtId="0" fontId="17" fillId="0" borderId="3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3" fontId="3" fillId="0" borderId="46" xfId="0" applyNumberFormat="1" applyFont="1" applyFill="1" applyBorder="1" applyAlignment="1">
      <alignment horizontal="center" vertical="top"/>
    </xf>
    <xf numFmtId="0" fontId="17" fillId="0" borderId="5" xfId="0" applyFont="1" applyBorder="1"/>
    <xf numFmtId="0" fontId="16" fillId="0" borderId="69" xfId="0" applyFont="1" applyFill="1" applyBorder="1" applyAlignment="1">
      <alignment horizontal="center" vertical="top"/>
    </xf>
    <xf numFmtId="0" fontId="16" fillId="0" borderId="58" xfId="0" applyFont="1" applyFill="1" applyBorder="1" applyAlignment="1">
      <alignment horizontal="center" vertical="top"/>
    </xf>
    <xf numFmtId="0" fontId="16" fillId="0" borderId="83" xfId="0" applyFont="1" applyFill="1" applyBorder="1" applyAlignment="1">
      <alignment horizontal="center" vertical="top"/>
    </xf>
    <xf numFmtId="0" fontId="5" fillId="0" borderId="3" xfId="0" applyNumberFormat="1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center" vertical="top"/>
    </xf>
    <xf numFmtId="0" fontId="5" fillId="0" borderId="5" xfId="0" applyNumberFormat="1" applyFont="1" applyFill="1" applyBorder="1" applyAlignment="1">
      <alignment horizontal="center" vertical="top"/>
    </xf>
    <xf numFmtId="0" fontId="5" fillId="0" borderId="8" xfId="0" applyNumberFormat="1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77" xfId="0" applyFont="1" applyFill="1" applyBorder="1" applyAlignment="1">
      <alignment horizontal="center" vertical="top"/>
    </xf>
    <xf numFmtId="0" fontId="4" fillId="0" borderId="31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79" xfId="0" applyFont="1" applyFill="1" applyBorder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top"/>
    </xf>
    <xf numFmtId="0" fontId="5" fillId="0" borderId="15" xfId="0" applyNumberFormat="1" applyFont="1" applyFill="1" applyBorder="1" applyAlignment="1">
      <alignment horizontal="center" vertical="top"/>
    </xf>
    <xf numFmtId="0" fontId="5" fillId="0" borderId="87" xfId="0" applyNumberFormat="1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top"/>
    </xf>
    <xf numFmtId="0" fontId="5" fillId="0" borderId="96" xfId="0" applyFont="1" applyFill="1" applyBorder="1" applyAlignment="1">
      <alignment horizontal="center" vertical="top"/>
    </xf>
    <xf numFmtId="0" fontId="5" fillId="0" borderId="8" xfId="0" applyFont="1" applyFill="1" applyBorder="1" applyAlignment="1">
      <alignment horizontal="center" vertical="top"/>
    </xf>
    <xf numFmtId="0" fontId="5" fillId="0" borderId="18" xfId="0" applyFont="1" applyFill="1" applyBorder="1" applyAlignment="1">
      <alignment horizontal="center" vertical="top"/>
    </xf>
    <xf numFmtId="0" fontId="5" fillId="0" borderId="13" xfId="0" applyFont="1" applyFill="1" applyBorder="1" applyAlignment="1">
      <alignment horizontal="center" vertical="top"/>
    </xf>
    <xf numFmtId="0" fontId="5" fillId="0" borderId="81" xfId="0" applyFont="1" applyFill="1" applyBorder="1" applyAlignment="1">
      <alignment horizontal="center" vertical="top"/>
    </xf>
    <xf numFmtId="0" fontId="5" fillId="0" borderId="103" xfId="0" applyFont="1" applyFill="1" applyBorder="1" applyAlignment="1">
      <alignment horizontal="center" vertical="top"/>
    </xf>
    <xf numFmtId="0" fontId="5" fillId="0" borderId="104" xfId="0" applyFont="1" applyFill="1" applyBorder="1" applyAlignment="1">
      <alignment horizontal="center" vertical="top"/>
    </xf>
    <xf numFmtId="0" fontId="5" fillId="0" borderId="105" xfId="0" applyFont="1" applyFill="1" applyBorder="1" applyAlignment="1">
      <alignment horizontal="center" vertical="top"/>
    </xf>
    <xf numFmtId="0" fontId="16" fillId="0" borderId="21" xfId="0" applyFont="1" applyFill="1" applyBorder="1" applyAlignment="1">
      <alignment horizontal="center" vertical="top"/>
    </xf>
    <xf numFmtId="0" fontId="15" fillId="2" borderId="27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6" fillId="0" borderId="6" xfId="0" applyNumberFormat="1" applyFont="1" applyFill="1" applyBorder="1" applyAlignment="1">
      <alignment horizontal="center" vertical="top"/>
    </xf>
    <xf numFmtId="0" fontId="16" fillId="0" borderId="23" xfId="0" applyNumberFormat="1" applyFont="1" applyFill="1" applyBorder="1" applyAlignment="1">
      <alignment horizontal="center" vertical="top"/>
    </xf>
    <xf numFmtId="0" fontId="16" fillId="0" borderId="21" xfId="0" applyNumberFormat="1" applyFont="1" applyFill="1" applyBorder="1" applyAlignment="1">
      <alignment horizontal="center" vertical="top"/>
    </xf>
    <xf numFmtId="0" fontId="16" fillId="0" borderId="7" xfId="0" applyNumberFormat="1" applyFont="1" applyFill="1" applyBorder="1" applyAlignment="1">
      <alignment horizontal="center" vertical="top"/>
    </xf>
    <xf numFmtId="0" fontId="16" fillId="0" borderId="7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top"/>
    </xf>
    <xf numFmtId="0" fontId="16" fillId="0" borderId="26" xfId="0" applyNumberFormat="1" applyFont="1" applyFill="1" applyBorder="1" applyAlignment="1">
      <alignment horizontal="center" vertical="top"/>
    </xf>
    <xf numFmtId="0" fontId="16" fillId="0" borderId="27" xfId="0" applyNumberFormat="1" applyFont="1" applyFill="1" applyBorder="1" applyAlignment="1">
      <alignment horizontal="center" vertical="top"/>
    </xf>
    <xf numFmtId="0" fontId="16" fillId="0" borderId="29" xfId="0" applyNumberFormat="1" applyFont="1" applyFill="1" applyBorder="1" applyAlignment="1">
      <alignment horizontal="center" vertical="top"/>
    </xf>
    <xf numFmtId="0" fontId="16" fillId="0" borderId="31" xfId="0" applyNumberFormat="1" applyFont="1" applyFill="1" applyBorder="1" applyAlignment="1">
      <alignment horizontal="center" vertical="top"/>
    </xf>
    <xf numFmtId="0" fontId="16" fillId="0" borderId="29" xfId="0" applyFont="1" applyFill="1" applyBorder="1" applyAlignment="1">
      <alignment horizontal="center" vertical="top"/>
    </xf>
    <xf numFmtId="0" fontId="16" fillId="0" borderId="16" xfId="0" applyNumberFormat="1" applyFont="1" applyFill="1" applyBorder="1" applyAlignment="1">
      <alignment horizontal="center" vertical="top"/>
    </xf>
    <xf numFmtId="0" fontId="5" fillId="0" borderId="13" xfId="0" applyNumberFormat="1" applyFont="1" applyFill="1" applyBorder="1" applyAlignment="1">
      <alignment horizontal="center" vertical="top"/>
    </xf>
    <xf numFmtId="0" fontId="16" fillId="0" borderId="72" xfId="0" applyNumberFormat="1" applyFont="1" applyFill="1" applyBorder="1" applyAlignment="1">
      <alignment horizontal="center" vertical="top"/>
    </xf>
    <xf numFmtId="0" fontId="16" fillId="0" borderId="6" xfId="0" applyFont="1" applyFill="1" applyBorder="1" applyAlignment="1">
      <alignment horizontal="center" vertical="top"/>
    </xf>
    <xf numFmtId="0" fontId="16" fillId="0" borderId="52" xfId="0" applyNumberFormat="1" applyFont="1" applyFill="1" applyBorder="1" applyAlignment="1">
      <alignment horizontal="center" vertical="top"/>
    </xf>
    <xf numFmtId="0" fontId="16" fillId="0" borderId="41" xfId="0" applyNumberFormat="1" applyFont="1" applyFill="1" applyBorder="1" applyAlignment="1">
      <alignment horizontal="center" vertical="top"/>
    </xf>
    <xf numFmtId="0" fontId="16" fillId="0" borderId="51" xfId="0" applyNumberFormat="1" applyFont="1" applyFill="1" applyBorder="1" applyAlignment="1">
      <alignment horizontal="center" vertical="top"/>
    </xf>
    <xf numFmtId="0" fontId="16" fillId="0" borderId="49" xfId="0" applyNumberFormat="1" applyFont="1" applyFill="1" applyBorder="1" applyAlignment="1">
      <alignment horizontal="center" vertical="top"/>
    </xf>
    <xf numFmtId="0" fontId="16" fillId="0" borderId="19" xfId="0" applyFont="1" applyFill="1" applyBorder="1" applyAlignment="1">
      <alignment horizontal="center" vertical="top"/>
    </xf>
    <xf numFmtId="0" fontId="15" fillId="0" borderId="27" xfId="0" applyNumberFormat="1" applyFont="1" applyFill="1" applyBorder="1" applyAlignment="1">
      <alignment horizontal="center" vertical="top"/>
    </xf>
    <xf numFmtId="0" fontId="15" fillId="0" borderId="29" xfId="0" applyNumberFormat="1" applyFont="1" applyFill="1" applyBorder="1" applyAlignment="1">
      <alignment horizontal="center" vertical="top"/>
    </xf>
    <xf numFmtId="0" fontId="16" fillId="0" borderId="25" xfId="0" applyNumberFormat="1" applyFont="1" applyFill="1" applyBorder="1" applyAlignment="1">
      <alignment horizontal="center" vertical="top"/>
    </xf>
    <xf numFmtId="0" fontId="16" fillId="0" borderId="28" xfId="0" applyNumberFormat="1" applyFont="1" applyFill="1" applyBorder="1" applyAlignment="1">
      <alignment horizontal="center" vertical="top"/>
    </xf>
    <xf numFmtId="0" fontId="0" fillId="0" borderId="26" xfId="0" applyBorder="1"/>
    <xf numFmtId="0" fontId="15" fillId="0" borderId="12" xfId="0" applyNumberFormat="1" applyFont="1" applyFill="1" applyBorder="1" applyAlignment="1">
      <alignment horizontal="center" vertical="top"/>
    </xf>
    <xf numFmtId="0" fontId="16" fillId="0" borderId="15" xfId="0" applyNumberFormat="1" applyFont="1" applyFill="1" applyBorder="1" applyAlignment="1">
      <alignment horizontal="center" vertical="top"/>
    </xf>
    <xf numFmtId="0" fontId="15" fillId="0" borderId="15" xfId="0" applyNumberFormat="1" applyFont="1" applyFill="1" applyBorder="1" applyAlignment="1">
      <alignment horizontal="center" vertical="top"/>
    </xf>
    <xf numFmtId="0" fontId="15" fillId="0" borderId="33" xfId="0" applyNumberFormat="1" applyFont="1" applyFill="1" applyBorder="1" applyAlignment="1">
      <alignment horizontal="center" vertical="top"/>
    </xf>
    <xf numFmtId="0" fontId="16" fillId="0" borderId="33" xfId="0" applyNumberFormat="1" applyFont="1" applyFill="1" applyBorder="1" applyAlignment="1">
      <alignment horizontal="center" vertical="top"/>
    </xf>
    <xf numFmtId="0" fontId="16" fillId="0" borderId="44" xfId="0" applyNumberFormat="1" applyFont="1" applyFill="1" applyBorder="1" applyAlignment="1">
      <alignment horizontal="center" vertical="top"/>
    </xf>
    <xf numFmtId="0" fontId="15" fillId="0" borderId="41" xfId="0" applyNumberFormat="1" applyFont="1" applyFill="1" applyBorder="1" applyAlignment="1">
      <alignment horizontal="center" vertical="top"/>
    </xf>
    <xf numFmtId="0" fontId="15" fillId="0" borderId="51" xfId="0" applyNumberFormat="1" applyFont="1" applyFill="1" applyBorder="1" applyAlignment="1">
      <alignment horizontal="center" vertical="top"/>
    </xf>
    <xf numFmtId="0" fontId="16" fillId="0" borderId="10" xfId="0" applyNumberFormat="1" applyFont="1" applyFill="1" applyBorder="1" applyAlignment="1">
      <alignment horizontal="center" vertical="top"/>
    </xf>
    <xf numFmtId="0" fontId="16" fillId="0" borderId="54" xfId="0" applyNumberFormat="1" applyFont="1" applyFill="1" applyBorder="1" applyAlignment="1">
      <alignment horizontal="center" vertical="top"/>
    </xf>
    <xf numFmtId="0" fontId="16" fillId="0" borderId="51" xfId="0" applyFont="1" applyFill="1" applyBorder="1" applyAlignment="1">
      <alignment horizontal="center" vertical="top"/>
    </xf>
    <xf numFmtId="0" fontId="23" fillId="0" borderId="80" xfId="0" applyFont="1" applyFill="1" applyBorder="1" applyAlignment="1">
      <alignment horizontal="center" vertical="top" wrapText="1"/>
    </xf>
    <xf numFmtId="0" fontId="16" fillId="0" borderId="136" xfId="0" applyFont="1" applyFill="1" applyBorder="1" applyAlignment="1">
      <alignment horizontal="left" vertical="top" wrapText="1"/>
    </xf>
    <xf numFmtId="0" fontId="16" fillId="0" borderId="6" xfId="0" applyFont="1" applyFill="1" applyBorder="1" applyAlignment="1">
      <alignment horizontal="center" vertical="top" wrapText="1"/>
    </xf>
    <xf numFmtId="0" fontId="16" fillId="0" borderId="7" xfId="0" applyFont="1" applyFill="1" applyBorder="1" applyAlignment="1">
      <alignment horizontal="center" vertical="top" wrapText="1"/>
    </xf>
    <xf numFmtId="0" fontId="16" fillId="0" borderId="22" xfId="0" applyFont="1" applyFill="1" applyBorder="1" applyAlignment="1">
      <alignment horizontal="center" vertical="top"/>
    </xf>
    <xf numFmtId="0" fontId="16" fillId="0" borderId="62" xfId="0" applyFont="1" applyFill="1" applyBorder="1" applyAlignment="1">
      <alignment horizontal="center" vertical="top" wrapText="1"/>
    </xf>
    <xf numFmtId="0" fontId="16" fillId="0" borderId="23" xfId="0" applyFont="1" applyFill="1" applyBorder="1" applyAlignment="1">
      <alignment horizontal="center" vertical="top" wrapText="1"/>
    </xf>
    <xf numFmtId="0" fontId="16" fillId="0" borderId="72" xfId="0" applyFont="1" applyFill="1" applyBorder="1" applyAlignment="1">
      <alignment horizontal="center" vertical="top"/>
    </xf>
    <xf numFmtId="0" fontId="22" fillId="0" borderId="48" xfId="0" applyFont="1" applyFill="1" applyBorder="1" applyAlignment="1">
      <alignment horizontal="center" vertical="top" wrapText="1"/>
    </xf>
    <xf numFmtId="0" fontId="18" fillId="0" borderId="23" xfId="0" applyFont="1" applyFill="1" applyBorder="1" applyAlignment="1">
      <alignment horizontal="center" vertical="top"/>
    </xf>
    <xf numFmtId="0" fontId="16" fillId="0" borderId="55" xfId="0" applyFont="1" applyFill="1" applyBorder="1" applyAlignment="1">
      <alignment horizontal="center" vertical="top" wrapText="1"/>
    </xf>
    <xf numFmtId="0" fontId="16" fillId="0" borderId="23" xfId="0" applyFont="1" applyFill="1" applyBorder="1" applyAlignment="1">
      <alignment horizontal="center" vertical="top"/>
    </xf>
    <xf numFmtId="0" fontId="15" fillId="0" borderId="52" xfId="0" applyNumberFormat="1" applyFont="1" applyFill="1" applyBorder="1" applyAlignment="1">
      <alignment horizontal="center" vertical="top"/>
    </xf>
    <xf numFmtId="0" fontId="21" fillId="0" borderId="23" xfId="0" applyFont="1" applyFill="1" applyBorder="1" applyAlignment="1">
      <alignment horizontal="center" vertical="top"/>
    </xf>
    <xf numFmtId="0" fontId="21" fillId="0" borderId="5" xfId="0" applyFont="1" applyFill="1" applyBorder="1" applyAlignment="1">
      <alignment horizontal="center" vertical="top"/>
    </xf>
    <xf numFmtId="0" fontId="16" fillId="0" borderId="24" xfId="0" applyNumberFormat="1" applyFont="1" applyFill="1" applyBorder="1" applyAlignment="1" applyProtection="1">
      <alignment horizontal="center" vertical="top"/>
      <protection locked="0"/>
    </xf>
    <xf numFmtId="0" fontId="5" fillId="0" borderId="27" xfId="0" applyNumberFormat="1" applyFont="1" applyFill="1" applyBorder="1" applyAlignment="1">
      <alignment horizontal="center" vertical="top"/>
    </xf>
    <xf numFmtId="0" fontId="23" fillId="0" borderId="67" xfId="0" applyFont="1" applyFill="1" applyBorder="1" applyAlignment="1">
      <alignment horizontal="center" vertical="top" wrapText="1"/>
    </xf>
    <xf numFmtId="0" fontId="24" fillId="0" borderId="45" xfId="0" applyFont="1" applyFill="1" applyBorder="1" applyAlignment="1">
      <alignment horizontal="left" vertical="top" wrapText="1"/>
    </xf>
    <xf numFmtId="0" fontId="16" fillId="0" borderId="69" xfId="0" applyFont="1" applyFill="1" applyBorder="1" applyAlignment="1">
      <alignment horizontal="center" vertical="top" wrapText="1"/>
    </xf>
    <xf numFmtId="0" fontId="16" fillId="0" borderId="58" xfId="0" applyFont="1" applyFill="1" applyBorder="1" applyAlignment="1">
      <alignment horizontal="center" vertical="top" wrapText="1"/>
    </xf>
    <xf numFmtId="0" fontId="16" fillId="0" borderId="57" xfId="0" applyFont="1" applyFill="1" applyBorder="1" applyAlignment="1">
      <alignment horizontal="center" vertical="top"/>
    </xf>
    <xf numFmtId="0" fontId="24" fillId="0" borderId="67" xfId="0" applyFont="1" applyFill="1" applyBorder="1" applyAlignment="1">
      <alignment horizontal="center" vertical="top" wrapText="1"/>
    </xf>
    <xf numFmtId="0" fontId="24" fillId="0" borderId="59" xfId="0" applyFont="1" applyFill="1" applyBorder="1" applyAlignment="1">
      <alignment horizontal="center" vertical="top" wrapText="1"/>
    </xf>
    <xf numFmtId="0" fontId="16" fillId="0" borderId="56" xfId="0" applyFont="1" applyFill="1" applyBorder="1" applyAlignment="1">
      <alignment horizontal="center" vertical="top"/>
    </xf>
    <xf numFmtId="0" fontId="16" fillId="0" borderId="70" xfId="0" applyFont="1" applyFill="1" applyBorder="1" applyAlignment="1">
      <alignment horizontal="center" vertical="top"/>
    </xf>
    <xf numFmtId="0" fontId="16" fillId="0" borderId="59" xfId="0" applyFont="1" applyFill="1" applyBorder="1" applyAlignment="1">
      <alignment horizontal="center" vertical="top"/>
    </xf>
    <xf numFmtId="0" fontId="16" fillId="0" borderId="78" xfId="0" applyFont="1" applyFill="1" applyBorder="1" applyAlignment="1">
      <alignment horizontal="center" vertical="top" wrapText="1"/>
    </xf>
    <xf numFmtId="0" fontId="3" fillId="0" borderId="135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16" fillId="0" borderId="2" xfId="0" applyNumberFormat="1" applyFont="1" applyFill="1" applyBorder="1" applyAlignment="1" applyProtection="1">
      <alignment horizontal="center" vertical="top"/>
      <protection locked="0"/>
    </xf>
    <xf numFmtId="0" fontId="16" fillId="0" borderId="66" xfId="0" applyNumberFormat="1" applyFont="1" applyFill="1" applyBorder="1" applyAlignment="1" applyProtection="1">
      <alignment horizontal="center" vertical="top"/>
      <protection locked="0"/>
    </xf>
    <xf numFmtId="0" fontId="21" fillId="0" borderId="136" xfId="0" applyFont="1" applyFill="1" applyBorder="1" applyAlignment="1">
      <alignment horizontal="center" vertical="top"/>
    </xf>
    <xf numFmtId="0" fontId="16" fillId="0" borderId="36" xfId="0" applyNumberFormat="1" applyFont="1" applyFill="1" applyBorder="1" applyAlignment="1" applyProtection="1">
      <alignment horizontal="center" vertical="top"/>
      <protection locked="0"/>
    </xf>
    <xf numFmtId="0" fontId="16" fillId="0" borderId="136" xfId="0" applyNumberFormat="1" applyFont="1" applyFill="1" applyBorder="1" applyAlignment="1" applyProtection="1">
      <alignment horizontal="center" vertical="top"/>
      <protection locked="0"/>
    </xf>
    <xf numFmtId="0" fontId="5" fillId="0" borderId="2" xfId="0" applyNumberFormat="1" applyFont="1" applyFill="1" applyBorder="1" applyAlignment="1" applyProtection="1">
      <alignment horizontal="center" vertical="top"/>
      <protection locked="0"/>
    </xf>
    <xf numFmtId="0" fontId="16" fillId="0" borderId="136" xfId="0" applyFont="1" applyFill="1" applyBorder="1" applyAlignment="1">
      <alignment horizontal="center" vertical="top"/>
    </xf>
    <xf numFmtId="0" fontId="15" fillId="0" borderId="24" xfId="0" applyFont="1" applyFill="1" applyBorder="1" applyAlignment="1">
      <alignment horizontal="center" vertical="top"/>
    </xf>
    <xf numFmtId="0" fontId="9" fillId="0" borderId="9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vertical="top"/>
    </xf>
    <xf numFmtId="49" fontId="16" fillId="0" borderId="14" xfId="0" applyNumberFormat="1" applyFont="1" applyFill="1" applyBorder="1" applyAlignment="1">
      <alignment vertical="top"/>
    </xf>
    <xf numFmtId="49" fontId="16" fillId="0" borderId="14" xfId="0" applyNumberFormat="1" applyFont="1" applyFill="1" applyBorder="1" applyAlignment="1">
      <alignment horizontal="left" vertical="top"/>
    </xf>
    <xf numFmtId="49" fontId="16" fillId="0" borderId="14" xfId="0" applyNumberFormat="1" applyFont="1" applyFill="1" applyBorder="1" applyAlignment="1">
      <alignment horizontal="left" vertical="top" wrapText="1"/>
    </xf>
    <xf numFmtId="49" fontId="5" fillId="0" borderId="14" xfId="0" applyNumberFormat="1" applyFont="1" applyFill="1" applyBorder="1" applyAlignment="1">
      <alignment horizontal="left" vertical="top" wrapText="1"/>
    </xf>
    <xf numFmtId="49" fontId="5" fillId="0" borderId="14" xfId="0" applyNumberFormat="1" applyFont="1" applyFill="1" applyBorder="1" applyAlignment="1">
      <alignment horizontal="left" vertical="top"/>
    </xf>
    <xf numFmtId="49" fontId="16" fillId="0" borderId="25" xfId="0" applyNumberFormat="1" applyFont="1" applyFill="1" applyBorder="1" applyAlignment="1">
      <alignment vertical="top"/>
    </xf>
    <xf numFmtId="49" fontId="16" fillId="0" borderId="10" xfId="0" applyNumberFormat="1" applyFont="1" applyFill="1" applyBorder="1" applyAlignment="1">
      <alignment vertical="top"/>
    </xf>
    <xf numFmtId="0" fontId="21" fillId="0" borderId="72" xfId="0" applyFont="1" applyFill="1" applyBorder="1" applyAlignment="1">
      <alignment vertical="top" wrapText="1"/>
    </xf>
    <xf numFmtId="0" fontId="21" fillId="0" borderId="14" xfId="0" applyFont="1" applyFill="1" applyBorder="1" applyAlignment="1">
      <alignment vertical="top" wrapText="1"/>
    </xf>
    <xf numFmtId="49" fontId="16" fillId="0" borderId="14" xfId="0" applyNumberFormat="1" applyFont="1" applyFill="1" applyBorder="1" applyAlignment="1">
      <alignment vertical="top" wrapText="1"/>
    </xf>
    <xf numFmtId="49" fontId="16" fillId="0" borderId="37" xfId="0" applyNumberFormat="1" applyFont="1" applyFill="1" applyBorder="1" applyAlignment="1">
      <alignment horizontal="left" vertical="top" wrapText="1"/>
    </xf>
    <xf numFmtId="49" fontId="16" fillId="0" borderId="25" xfId="0" applyNumberFormat="1" applyFont="1" applyFill="1" applyBorder="1" applyAlignment="1">
      <alignment horizontal="left" vertical="top" wrapText="1"/>
    </xf>
    <xf numFmtId="49" fontId="16" fillId="0" borderId="72" xfId="0" applyNumberFormat="1" applyFont="1" applyFill="1" applyBorder="1" applyAlignment="1">
      <alignment horizontal="left" vertical="top" wrapText="1"/>
    </xf>
    <xf numFmtId="0" fontId="16" fillId="0" borderId="14" xfId="0" applyFont="1" applyFill="1" applyBorder="1" applyAlignment="1">
      <alignment vertical="top"/>
    </xf>
    <xf numFmtId="49" fontId="16" fillId="2" borderId="14" xfId="0" applyNumberFormat="1" applyFont="1" applyFill="1" applyBorder="1" applyAlignment="1">
      <alignment horizontal="left" vertical="top" wrapText="1"/>
    </xf>
    <xf numFmtId="0" fontId="16" fillId="2" borderId="0" xfId="0" applyFont="1" applyFill="1" applyBorder="1"/>
    <xf numFmtId="0" fontId="16" fillId="2" borderId="0" xfId="0" applyFont="1" applyFill="1" applyBorder="1" applyAlignment="1">
      <alignment wrapText="1"/>
    </xf>
    <xf numFmtId="0" fontId="15" fillId="0" borderId="25" xfId="0" applyFont="1" applyFill="1" applyBorder="1" applyAlignment="1">
      <alignment vertical="top" wrapText="1"/>
    </xf>
    <xf numFmtId="3" fontId="9" fillId="0" borderId="47" xfId="0" applyNumberFormat="1" applyFont="1" applyFill="1" applyBorder="1" applyAlignment="1">
      <alignment horizontal="center" vertical="top"/>
    </xf>
    <xf numFmtId="3" fontId="6" fillId="0" borderId="4" xfId="0" applyNumberFormat="1" applyFont="1" applyFill="1" applyBorder="1" applyAlignment="1">
      <alignment horizontal="center" vertical="top" wrapText="1"/>
    </xf>
    <xf numFmtId="0" fontId="5" fillId="0" borderId="4" xfId="0" applyNumberFormat="1" applyFont="1" applyFill="1" applyBorder="1" applyAlignment="1">
      <alignment horizontal="center" vertical="top"/>
    </xf>
    <xf numFmtId="3" fontId="21" fillId="0" borderId="22" xfId="0" applyNumberFormat="1" applyFont="1" applyFill="1" applyBorder="1" applyAlignment="1">
      <alignment horizontal="center" vertical="top" wrapText="1"/>
    </xf>
    <xf numFmtId="3" fontId="21" fillId="0" borderId="4" xfId="0" applyNumberFormat="1" applyFont="1" applyFill="1" applyBorder="1" applyAlignment="1">
      <alignment horizontal="center" vertical="top" wrapText="1"/>
    </xf>
    <xf numFmtId="0" fontId="16" fillId="0" borderId="22" xfId="0" applyNumberFormat="1" applyFont="1" applyFill="1" applyBorder="1" applyAlignment="1">
      <alignment horizontal="center" vertical="top"/>
    </xf>
    <xf numFmtId="3" fontId="21" fillId="0" borderId="4" xfId="0" applyNumberFormat="1" applyFont="1" applyFill="1" applyBorder="1" applyAlignment="1">
      <alignment horizontal="center" vertical="top"/>
    </xf>
    <xf numFmtId="0" fontId="16" fillId="0" borderId="33" xfId="0" applyFont="1" applyFill="1" applyBorder="1" applyAlignment="1">
      <alignment horizontal="center" vertical="top"/>
    </xf>
    <xf numFmtId="0" fontId="21" fillId="0" borderId="11" xfId="0" applyFont="1" applyFill="1" applyBorder="1" applyAlignment="1">
      <alignment horizontal="left" vertical="top" wrapText="1"/>
    </xf>
    <xf numFmtId="0" fontId="21" fillId="0" borderId="20" xfId="0" applyFont="1" applyFill="1" applyBorder="1" applyAlignment="1">
      <alignment horizontal="center" vertical="top" wrapText="1"/>
    </xf>
    <xf numFmtId="0" fontId="21" fillId="0" borderId="15" xfId="0" applyFont="1" applyFill="1" applyBorder="1" applyAlignment="1">
      <alignment horizontal="center" vertical="top" wrapText="1"/>
    </xf>
    <xf numFmtId="0" fontId="21" fillId="0" borderId="15" xfId="0" applyFont="1" applyFill="1" applyBorder="1" applyAlignment="1">
      <alignment horizontal="center" vertical="top"/>
    </xf>
    <xf numFmtId="0" fontId="21" fillId="0" borderId="44" xfId="0" applyFont="1" applyFill="1" applyBorder="1" applyAlignment="1">
      <alignment horizontal="center" vertical="top"/>
    </xf>
    <xf numFmtId="0" fontId="21" fillId="0" borderId="33" xfId="0" applyFont="1" applyFill="1" applyBorder="1" applyAlignment="1">
      <alignment horizontal="center" vertical="top" wrapText="1"/>
    </xf>
    <xf numFmtId="0" fontId="21" fillId="0" borderId="33" xfId="0" applyFont="1" applyFill="1" applyBorder="1" applyAlignment="1">
      <alignment horizontal="center" vertical="top"/>
    </xf>
    <xf numFmtId="3" fontId="16" fillId="0" borderId="27" xfId="0" applyNumberFormat="1" applyFont="1" applyFill="1" applyBorder="1" applyAlignment="1">
      <alignment horizontal="center" vertical="top"/>
    </xf>
    <xf numFmtId="0" fontId="21" fillId="0" borderId="27" xfId="0" applyFont="1" applyFill="1" applyBorder="1" applyAlignment="1">
      <alignment horizontal="center" vertical="top"/>
    </xf>
    <xf numFmtId="0" fontId="18" fillId="0" borderId="27" xfId="0" applyFont="1" applyFill="1" applyBorder="1" applyAlignment="1">
      <alignment horizontal="center" vertical="top"/>
    </xf>
    <xf numFmtId="0" fontId="18" fillId="0" borderId="25" xfId="0" applyFont="1" applyFill="1" applyBorder="1" applyAlignment="1">
      <alignment horizontal="center" vertical="top"/>
    </xf>
    <xf numFmtId="0" fontId="16" fillId="2" borderId="2" xfId="0" applyNumberFormat="1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>
      <alignment vertical="top"/>
    </xf>
    <xf numFmtId="49" fontId="5" fillId="2" borderId="14" xfId="0" applyNumberFormat="1" applyFont="1" applyFill="1" applyBorder="1" applyAlignment="1">
      <alignment horizontal="left" vertical="top" wrapText="1"/>
    </xf>
    <xf numFmtId="49" fontId="16" fillId="2" borderId="14" xfId="0" applyNumberFormat="1" applyFont="1" applyFill="1" applyBorder="1" applyAlignment="1">
      <alignment horizontal="left" vertical="top"/>
    </xf>
    <xf numFmtId="0" fontId="21" fillId="2" borderId="2" xfId="0" applyFont="1" applyFill="1" applyBorder="1" applyAlignment="1">
      <alignment horizontal="center" vertical="top"/>
    </xf>
    <xf numFmtId="0" fontId="21" fillId="2" borderId="14" xfId="0" applyFont="1" applyFill="1" applyBorder="1" applyAlignment="1">
      <alignment vertical="top" wrapText="1"/>
    </xf>
    <xf numFmtId="0" fontId="16" fillId="2" borderId="14" xfId="0" applyFont="1" applyFill="1" applyBorder="1" applyAlignment="1">
      <alignment vertical="top"/>
    </xf>
    <xf numFmtId="0" fontId="16" fillId="2" borderId="24" xfId="0" applyFont="1" applyFill="1" applyBorder="1" applyAlignment="1">
      <alignment horizontal="center" vertical="top"/>
    </xf>
    <xf numFmtId="49" fontId="16" fillId="2" borderId="25" xfId="0" applyNumberFormat="1" applyFont="1" applyFill="1" applyBorder="1" applyAlignment="1">
      <alignment horizontal="left" vertical="top" wrapText="1"/>
    </xf>
    <xf numFmtId="0" fontId="16" fillId="2" borderId="66" xfId="0" applyNumberFormat="1" applyFont="1" applyFill="1" applyBorder="1" applyAlignment="1" applyProtection="1">
      <alignment horizontal="center" vertical="top"/>
      <protection locked="0"/>
    </xf>
    <xf numFmtId="49" fontId="16" fillId="2" borderId="10" xfId="0" applyNumberFormat="1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center" vertical="top"/>
    </xf>
    <xf numFmtId="0" fontId="16" fillId="2" borderId="37" xfId="0" applyFont="1" applyFill="1" applyBorder="1" applyAlignment="1">
      <alignment vertical="top" wrapText="1"/>
    </xf>
    <xf numFmtId="0" fontId="16" fillId="2" borderId="36" xfId="0" applyNumberFormat="1" applyFont="1" applyFill="1" applyBorder="1" applyAlignment="1" applyProtection="1">
      <alignment horizontal="center" vertical="top"/>
      <protection locked="0"/>
    </xf>
    <xf numFmtId="49" fontId="16" fillId="2" borderId="2" xfId="0" applyNumberFormat="1" applyFont="1" applyFill="1" applyBorder="1" applyAlignment="1">
      <alignment horizontal="left" vertical="top" wrapText="1"/>
    </xf>
    <xf numFmtId="0" fontId="16" fillId="2" borderId="136" xfId="0" applyFont="1" applyFill="1" applyBorder="1" applyAlignment="1">
      <alignment horizontal="center" vertical="top"/>
    </xf>
    <xf numFmtId="0" fontId="16" fillId="2" borderId="0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wrapText="1"/>
    </xf>
    <xf numFmtId="0" fontId="27" fillId="0" borderId="0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27" fillId="0" borderId="0" xfId="0" applyFont="1" applyAlignment="1">
      <alignment horizontal="left" wrapText="1"/>
    </xf>
    <xf numFmtId="0" fontId="27" fillId="0" borderId="0" xfId="0" applyFont="1" applyBorder="1" applyAlignment="1">
      <alignment horizontal="center" wrapText="1"/>
    </xf>
    <xf numFmtId="0" fontId="32" fillId="0" borderId="0" xfId="0" applyFont="1" applyFill="1" applyBorder="1" applyAlignment="1">
      <alignment horizontal="left" vertical="top" wrapText="1"/>
    </xf>
    <xf numFmtId="0" fontId="31" fillId="0" borderId="0" xfId="0" applyFont="1"/>
    <xf numFmtId="0" fontId="31" fillId="0" borderId="0" xfId="0" applyFont="1" applyBorder="1"/>
    <xf numFmtId="0" fontId="5" fillId="0" borderId="45" xfId="0" applyFont="1" applyBorder="1" applyAlignment="1">
      <alignment horizontal="center" vertical="center" wrapText="1"/>
    </xf>
    <xf numFmtId="3" fontId="9" fillId="0" borderId="0" xfId="0" applyNumberFormat="1" applyFont="1" applyFill="1" applyBorder="1" applyAlignment="1">
      <alignment horizontal="center" vertical="top"/>
    </xf>
    <xf numFmtId="3" fontId="6" fillId="2" borderId="14" xfId="0" applyNumberFormat="1" applyFont="1" applyFill="1" applyBorder="1" applyAlignment="1">
      <alignment horizontal="center" vertical="top" wrapText="1"/>
    </xf>
    <xf numFmtId="0" fontId="5" fillId="2" borderId="14" xfId="0" applyNumberFormat="1" applyFont="1" applyFill="1" applyBorder="1" applyAlignment="1">
      <alignment horizontal="center" vertical="top"/>
    </xf>
    <xf numFmtId="0" fontId="5" fillId="2" borderId="37" xfId="0" applyNumberFormat="1" applyFont="1" applyFill="1" applyBorder="1" applyAlignment="1">
      <alignment horizontal="center" vertical="top"/>
    </xf>
    <xf numFmtId="0" fontId="5" fillId="2" borderId="135" xfId="0" applyNumberFormat="1" applyFont="1" applyFill="1" applyBorder="1" applyAlignment="1">
      <alignment horizontal="center" vertical="top"/>
    </xf>
    <xf numFmtId="0" fontId="6" fillId="2" borderId="66" xfId="0" applyNumberFormat="1" applyFont="1" applyFill="1" applyBorder="1" applyAlignment="1">
      <alignment horizontal="center" vertical="top"/>
    </xf>
    <xf numFmtId="0" fontId="6" fillId="2" borderId="2" xfId="0" applyNumberFormat="1" applyFont="1" applyFill="1" applyBorder="1" applyAlignment="1">
      <alignment horizontal="center" vertical="top"/>
    </xf>
    <xf numFmtId="0" fontId="5" fillId="2" borderId="2" xfId="0" applyNumberFormat="1" applyFont="1" applyFill="1" applyBorder="1" applyAlignment="1">
      <alignment horizontal="center" vertical="top"/>
    </xf>
    <xf numFmtId="0" fontId="5" fillId="2" borderId="24" xfId="0" applyNumberFormat="1" applyFont="1" applyFill="1" applyBorder="1" applyAlignment="1">
      <alignment horizontal="center" vertical="top"/>
    </xf>
    <xf numFmtId="3" fontId="6" fillId="2" borderId="72" xfId="0" applyNumberFormat="1" applyFont="1" applyFill="1" applyBorder="1" applyAlignment="1">
      <alignment horizontal="center" vertical="top" wrapText="1"/>
    </xf>
    <xf numFmtId="0" fontId="6" fillId="2" borderId="14" xfId="0" applyNumberFormat="1" applyFont="1" applyFill="1" applyBorder="1" applyAlignment="1">
      <alignment horizontal="center" vertical="top"/>
    </xf>
    <xf numFmtId="0" fontId="33" fillId="2" borderId="36" xfId="0" applyNumberFormat="1" applyFont="1" applyFill="1" applyBorder="1" applyAlignment="1">
      <alignment horizontal="center" vertical="top"/>
    </xf>
    <xf numFmtId="3" fontId="6" fillId="2" borderId="2" xfId="0" applyNumberFormat="1" applyFont="1" applyFill="1" applyBorder="1" applyAlignment="1">
      <alignment horizontal="center" vertical="top"/>
    </xf>
    <xf numFmtId="0" fontId="5" fillId="0" borderId="2" xfId="0" applyNumberFormat="1" applyFont="1" applyFill="1" applyBorder="1" applyAlignment="1">
      <alignment horizontal="center" vertical="top"/>
    </xf>
    <xf numFmtId="0" fontId="5" fillId="0" borderId="36" xfId="0" applyNumberFormat="1" applyFont="1" applyFill="1" applyBorder="1" applyAlignment="1">
      <alignment horizontal="center" vertical="top"/>
    </xf>
    <xf numFmtId="0" fontId="6" fillId="0" borderId="45" xfId="0" applyNumberFormat="1" applyFont="1" applyFill="1" applyBorder="1" applyAlignment="1">
      <alignment horizontal="center" vertical="top"/>
    </xf>
    <xf numFmtId="0" fontId="5" fillId="0" borderId="45" xfId="0" applyNumberFormat="1" applyFont="1" applyFill="1" applyBorder="1" applyAlignment="1">
      <alignment horizontal="center" vertical="top"/>
    </xf>
    <xf numFmtId="0" fontId="6" fillId="0" borderId="66" xfId="0" applyNumberFormat="1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3" fontId="34" fillId="0" borderId="2" xfId="0" applyNumberFormat="1" applyFont="1" applyFill="1" applyBorder="1" applyAlignment="1">
      <alignment horizontal="center" vertical="top" wrapText="1"/>
    </xf>
    <xf numFmtId="0" fontId="6" fillId="0" borderId="24" xfId="0" applyFont="1" applyFill="1" applyBorder="1" applyAlignment="1">
      <alignment horizontal="center" vertical="top" wrapText="1"/>
    </xf>
    <xf numFmtId="0" fontId="9" fillId="0" borderId="136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6" xfId="0" applyFont="1" applyFill="1" applyBorder="1" applyAlignment="1">
      <alignment horizontal="center" vertical="top" wrapText="1"/>
    </xf>
    <xf numFmtId="0" fontId="5" fillId="0" borderId="66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132" xfId="0" applyFont="1" applyFill="1" applyBorder="1" applyAlignment="1">
      <alignment horizontal="center" vertical="top" wrapText="1"/>
    </xf>
    <xf numFmtId="0" fontId="35" fillId="0" borderId="135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24" fillId="0" borderId="24" xfId="0" applyFont="1" applyFill="1" applyBorder="1" applyAlignment="1">
      <alignment horizontal="center" vertical="top" wrapText="1"/>
    </xf>
    <xf numFmtId="0" fontId="30" fillId="0" borderId="0" xfId="0" applyFont="1"/>
    <xf numFmtId="0" fontId="17" fillId="2" borderId="60" xfId="0" applyFont="1" applyFill="1" applyBorder="1" applyAlignment="1">
      <alignment horizontal="center"/>
    </xf>
    <xf numFmtId="0" fontId="16" fillId="2" borderId="1" xfId="0" applyNumberFormat="1" applyFont="1" applyFill="1" applyBorder="1" applyAlignment="1">
      <alignment horizontal="center" vertical="top"/>
    </xf>
    <xf numFmtId="0" fontId="16" fillId="2" borderId="5" xfId="0" applyNumberFormat="1" applyFont="1" applyFill="1" applyBorder="1" applyAlignment="1">
      <alignment horizontal="center" vertical="top"/>
    </xf>
    <xf numFmtId="0" fontId="16" fillId="2" borderId="8" xfId="0" applyNumberFormat="1" applyFont="1" applyFill="1" applyBorder="1" applyAlignment="1">
      <alignment horizontal="center" vertical="top"/>
    </xf>
    <xf numFmtId="0" fontId="16" fillId="2" borderId="3" xfId="0" applyNumberFormat="1" applyFont="1" applyFill="1" applyBorder="1" applyAlignment="1">
      <alignment horizontal="center" vertical="top"/>
    </xf>
    <xf numFmtId="0" fontId="16" fillId="2" borderId="4" xfId="0" applyNumberFormat="1" applyFont="1" applyFill="1" applyBorder="1" applyAlignment="1">
      <alignment horizontal="center" vertical="top"/>
    </xf>
    <xf numFmtId="0" fontId="16" fillId="2" borderId="3" xfId="0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center" vertical="top"/>
    </xf>
    <xf numFmtId="0" fontId="16" fillId="2" borderId="5" xfId="0" applyFont="1" applyFill="1" applyBorder="1" applyAlignment="1">
      <alignment horizontal="center" vertical="top"/>
    </xf>
    <xf numFmtId="0" fontId="0" fillId="2" borderId="0" xfId="0" applyFill="1"/>
    <xf numFmtId="0" fontId="16" fillId="2" borderId="14" xfId="0" applyFont="1" applyFill="1" applyBorder="1"/>
    <xf numFmtId="49" fontId="16" fillId="2" borderId="14" xfId="0" applyNumberFormat="1" applyFont="1" applyFill="1" applyBorder="1" applyAlignment="1">
      <alignment vertical="top"/>
    </xf>
    <xf numFmtId="0" fontId="17" fillId="2" borderId="3" xfId="0" applyFont="1" applyFill="1" applyBorder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5" fillId="2" borderId="1" xfId="0" applyNumberFormat="1" applyFont="1" applyFill="1" applyBorder="1" applyAlignment="1">
      <alignment horizontal="center" vertical="top"/>
    </xf>
    <xf numFmtId="0" fontId="5" fillId="2" borderId="3" xfId="0" applyNumberFormat="1" applyFont="1" applyFill="1" applyBorder="1" applyAlignment="1">
      <alignment horizontal="center" vertical="top"/>
    </xf>
    <xf numFmtId="0" fontId="5" fillId="2" borderId="5" xfId="0" applyNumberFormat="1" applyFont="1" applyFill="1" applyBorder="1" applyAlignment="1">
      <alignment horizontal="center" vertical="top"/>
    </xf>
    <xf numFmtId="0" fontId="5" fillId="2" borderId="8" xfId="0" applyNumberFormat="1" applyFont="1" applyFill="1" applyBorder="1" applyAlignment="1">
      <alignment horizontal="center" vertical="top"/>
    </xf>
    <xf numFmtId="0" fontId="5" fillId="2" borderId="4" xfId="0" applyNumberFormat="1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26" fillId="2" borderId="1" xfId="0" applyNumberFormat="1" applyFont="1" applyFill="1" applyBorder="1" applyAlignment="1">
      <alignment horizontal="center" vertical="top"/>
    </xf>
    <xf numFmtId="0" fontId="2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0" fontId="0" fillId="0" borderId="0" xfId="0" applyAlignment="1"/>
    <xf numFmtId="0" fontId="29" fillId="0" borderId="72" xfId="0" applyFont="1" applyBorder="1" applyAlignment="1">
      <alignment horizontal="center" wrapText="1"/>
    </xf>
    <xf numFmtId="0" fontId="0" fillId="0" borderId="72" xfId="0" applyBorder="1" applyAlignment="1">
      <alignment horizontal="center" wrapText="1"/>
    </xf>
    <xf numFmtId="0" fontId="27" fillId="0" borderId="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0" fillId="0" borderId="0" xfId="0" applyFont="1" applyAlignment="1">
      <alignment horizontal="left" wrapText="1"/>
    </xf>
    <xf numFmtId="0" fontId="31" fillId="0" borderId="0" xfId="0" applyFont="1" applyAlignment="1">
      <alignment horizontal="left" wrapText="1"/>
    </xf>
    <xf numFmtId="0" fontId="30" fillId="0" borderId="72" xfId="0" applyFont="1" applyBorder="1" applyAlignment="1">
      <alignment horizontal="center" wrapText="1"/>
    </xf>
    <xf numFmtId="0" fontId="28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7" fillId="0" borderId="37" xfId="0" applyFont="1" applyBorder="1" applyAlignment="1">
      <alignment horizontal="center"/>
    </xf>
    <xf numFmtId="0" fontId="27" fillId="0" borderId="0" xfId="0" applyFont="1" applyAlignment="1"/>
    <xf numFmtId="0" fontId="27" fillId="0" borderId="0" xfId="0" applyFont="1" applyAlignment="1">
      <alignment horizontal="center"/>
    </xf>
    <xf numFmtId="0" fontId="0" fillId="0" borderId="0" xfId="0" applyBorder="1" applyAlignment="1"/>
    <xf numFmtId="0" fontId="0" fillId="0" borderId="72" xfId="0" applyBorder="1" applyAlignment="1"/>
    <xf numFmtId="0" fontId="3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5" fillId="0" borderId="48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1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82" xfId="0" applyFont="1" applyFill="1" applyBorder="1" applyAlignment="1">
      <alignment horizontal="left" vertical="top" wrapText="1"/>
    </xf>
    <xf numFmtId="0" fontId="0" fillId="0" borderId="70" xfId="0" applyFont="1" applyFill="1" applyBorder="1" applyAlignment="1">
      <alignment horizontal="left" vertical="top" wrapText="1"/>
    </xf>
    <xf numFmtId="0" fontId="5" fillId="0" borderId="85" xfId="0" applyFont="1" applyFill="1" applyBorder="1" applyAlignment="1">
      <alignment horizontal="left" vertical="top" wrapText="1"/>
    </xf>
    <xf numFmtId="0" fontId="0" fillId="0" borderId="10" xfId="0" applyFont="1" applyFill="1" applyBorder="1" applyAlignment="1">
      <alignment horizontal="left" vertical="top" wrapText="1"/>
    </xf>
    <xf numFmtId="0" fontId="9" fillId="0" borderId="130" xfId="0" applyFont="1" applyFill="1" applyBorder="1" applyAlignment="1">
      <alignment horizontal="center" vertical="top" wrapText="1"/>
    </xf>
    <xf numFmtId="0" fontId="0" fillId="0" borderId="128" xfId="0" applyFont="1" applyFill="1" applyBorder="1" applyAlignment="1">
      <alignment vertical="top" wrapText="1"/>
    </xf>
    <xf numFmtId="0" fontId="0" fillId="0" borderId="129" xfId="0" applyFont="1" applyFill="1" applyBorder="1" applyAlignment="1">
      <alignment vertical="top" wrapText="1"/>
    </xf>
    <xf numFmtId="0" fontId="9" fillId="0" borderId="50" xfId="0" applyFont="1" applyFill="1" applyBorder="1" applyAlignment="1">
      <alignment horizontal="center" vertical="top" wrapText="1"/>
    </xf>
    <xf numFmtId="0" fontId="0" fillId="0" borderId="14" xfId="0" applyFont="1" applyFill="1" applyBorder="1" applyAlignment="1">
      <alignment vertical="top" wrapText="1"/>
    </xf>
    <xf numFmtId="0" fontId="0" fillId="0" borderId="43" xfId="0" applyFont="1" applyFill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0" fillId="0" borderId="43" xfId="0" applyFont="1" applyBorder="1" applyAlignment="1">
      <alignment vertical="top" wrapText="1"/>
    </xf>
    <xf numFmtId="0" fontId="9" fillId="0" borderId="67" xfId="0" applyFont="1" applyFill="1" applyBorder="1" applyAlignment="1">
      <alignment horizontal="center" vertical="top" wrapText="1"/>
    </xf>
    <xf numFmtId="0" fontId="0" fillId="0" borderId="70" xfId="0" applyFont="1" applyFill="1" applyBorder="1" applyAlignment="1">
      <alignment vertical="top" wrapText="1"/>
    </xf>
    <xf numFmtId="0" fontId="0" fillId="0" borderId="71" xfId="0" applyFont="1" applyFill="1" applyBorder="1" applyAlignment="1">
      <alignment vertical="top" wrapText="1"/>
    </xf>
    <xf numFmtId="3" fontId="19" fillId="0" borderId="67" xfId="0" applyNumberFormat="1" applyFont="1" applyFill="1" applyBorder="1" applyAlignment="1">
      <alignment horizontal="center" vertical="top" wrapText="1"/>
    </xf>
    <xf numFmtId="0" fontId="17" fillId="0" borderId="70" xfId="0" applyFont="1" applyFill="1" applyBorder="1" applyAlignment="1">
      <alignment vertical="top" wrapText="1"/>
    </xf>
    <xf numFmtId="0" fontId="17" fillId="0" borderId="71" xfId="0" applyFont="1" applyFill="1" applyBorder="1" applyAlignment="1">
      <alignment vertical="top" wrapText="1"/>
    </xf>
    <xf numFmtId="0" fontId="9" fillId="0" borderId="48" xfId="0" applyFont="1" applyFill="1" applyBorder="1" applyAlignment="1">
      <alignment horizontal="center" vertical="top" wrapText="1"/>
    </xf>
    <xf numFmtId="0" fontId="0" fillId="0" borderId="10" xfId="0" applyFont="1" applyFill="1" applyBorder="1" applyAlignment="1">
      <alignment vertical="top" wrapText="1"/>
    </xf>
    <xf numFmtId="0" fontId="0" fillId="0" borderId="42" xfId="0" applyFont="1" applyFill="1" applyBorder="1" applyAlignment="1">
      <alignment vertical="top" wrapText="1"/>
    </xf>
    <xf numFmtId="0" fontId="9" fillId="0" borderId="115" xfId="0" applyFont="1" applyFill="1" applyBorder="1" applyAlignment="1">
      <alignment horizontal="center" vertical="top" wrapText="1"/>
    </xf>
    <xf numFmtId="0" fontId="0" fillId="0" borderId="125" xfId="0" applyFill="1" applyBorder="1" applyAlignment="1">
      <alignment horizontal="center" vertical="top" wrapText="1"/>
    </xf>
    <xf numFmtId="0" fontId="9" fillId="0" borderId="125" xfId="0" applyFont="1" applyFill="1" applyBorder="1" applyAlignment="1">
      <alignment horizontal="left" vertical="top" wrapText="1"/>
    </xf>
    <xf numFmtId="0" fontId="0" fillId="0" borderId="125" xfId="0" applyFill="1" applyBorder="1" applyAlignment="1">
      <alignment horizontal="left" vertical="top" wrapText="1"/>
    </xf>
    <xf numFmtId="0" fontId="0" fillId="0" borderId="126" xfId="0" applyFill="1" applyBorder="1" applyAlignment="1">
      <alignment horizontal="left" vertical="top" wrapText="1"/>
    </xf>
    <xf numFmtId="0" fontId="5" fillId="0" borderId="97" xfId="0" applyFont="1" applyFill="1" applyBorder="1" applyAlignment="1">
      <alignment horizontal="center" vertical="top" wrapText="1"/>
    </xf>
    <xf numFmtId="0" fontId="5" fillId="0" borderId="57" xfId="0" applyFont="1" applyFill="1" applyBorder="1" applyAlignment="1">
      <alignment horizontal="center" vertical="top" wrapText="1"/>
    </xf>
    <xf numFmtId="0" fontId="5" fillId="0" borderId="56" xfId="0" applyFont="1" applyFill="1" applyBorder="1" applyAlignment="1">
      <alignment horizontal="center" vertical="top" wrapText="1"/>
    </xf>
    <xf numFmtId="0" fontId="5" fillId="0" borderId="58" xfId="0" applyFont="1" applyFill="1" applyBorder="1" applyAlignment="1">
      <alignment horizontal="center" vertical="top" wrapText="1"/>
    </xf>
    <xf numFmtId="0" fontId="5" fillId="0" borderId="59" xfId="0" applyFont="1" applyFill="1" applyBorder="1" applyAlignment="1">
      <alignment horizontal="center" vertical="top" wrapText="1"/>
    </xf>
    <xf numFmtId="0" fontId="5" fillId="0" borderId="99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top" wrapText="1"/>
    </xf>
    <xf numFmtId="0" fontId="3" fillId="0" borderId="55" xfId="0" applyFont="1" applyFill="1" applyBorder="1" applyAlignment="1">
      <alignment horizontal="center" vertical="top" wrapText="1"/>
    </xf>
    <xf numFmtId="0" fontId="3" fillId="0" borderId="25" xfId="0" applyFont="1" applyFill="1" applyBorder="1" applyAlignment="1">
      <alignment horizontal="center" vertical="top" wrapText="1"/>
    </xf>
    <xf numFmtId="0" fontId="10" fillId="0" borderId="112" xfId="0" applyFont="1" applyFill="1" applyBorder="1" applyAlignment="1">
      <alignment horizontal="center" vertical="top" wrapText="1"/>
    </xf>
    <xf numFmtId="0" fontId="5" fillId="0" borderId="123" xfId="0" applyFont="1" applyFill="1" applyBorder="1" applyAlignment="1">
      <alignment horizontal="center" vertical="top" wrapText="1"/>
    </xf>
    <xf numFmtId="0" fontId="5" fillId="0" borderId="22" xfId="0" applyFont="1" applyFill="1" applyBorder="1" applyAlignment="1">
      <alignment horizontal="center" vertical="top" wrapText="1"/>
    </xf>
    <xf numFmtId="0" fontId="3" fillId="0" borderId="62" xfId="0" applyFont="1" applyFill="1" applyBorder="1" applyAlignment="1">
      <alignment horizontal="center" vertical="top" wrapText="1"/>
    </xf>
    <xf numFmtId="0" fontId="3" fillId="0" borderId="72" xfId="0" applyFont="1" applyFill="1" applyBorder="1" applyAlignment="1">
      <alignment horizontal="center" vertical="top" wrapText="1"/>
    </xf>
    <xf numFmtId="0" fontId="10" fillId="0" borderId="124" xfId="0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9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23" xfId="0" applyFont="1" applyFill="1" applyBorder="1" applyAlignment="1">
      <alignment horizontal="left" vertical="top" wrapText="1"/>
    </xf>
    <xf numFmtId="0" fontId="1" fillId="0" borderId="99" xfId="0" applyFont="1" applyFill="1" applyBorder="1" applyAlignment="1">
      <alignment horizontal="center" vertical="center" wrapText="1"/>
    </xf>
    <xf numFmtId="0" fontId="1" fillId="0" borderId="101" xfId="0" applyFont="1" applyFill="1" applyBorder="1" applyAlignment="1">
      <alignment horizontal="center" vertical="center" wrapText="1"/>
    </xf>
    <xf numFmtId="0" fontId="1" fillId="0" borderId="100" xfId="0" applyFont="1" applyFill="1" applyBorder="1" applyAlignment="1">
      <alignment horizontal="center" vertical="center" wrapText="1"/>
    </xf>
    <xf numFmtId="0" fontId="1" fillId="0" borderId="68" xfId="0" applyFont="1" applyFill="1" applyBorder="1" applyAlignment="1">
      <alignment horizontal="center" vertical="center" wrapText="1"/>
    </xf>
    <xf numFmtId="0" fontId="0" fillId="0" borderId="60" xfId="0" applyFont="1" applyFill="1" applyBorder="1" applyAlignment="1">
      <alignment horizontal="center" vertical="center" wrapText="1"/>
    </xf>
    <xf numFmtId="0" fontId="0" fillId="0" borderId="64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horizontal="center" vertical="center" wrapText="1"/>
    </xf>
    <xf numFmtId="0" fontId="0" fillId="0" borderId="32" xfId="0" applyFont="1" applyFill="1" applyBorder="1" applyAlignment="1">
      <alignment horizontal="center" vertical="center" wrapText="1"/>
    </xf>
    <xf numFmtId="0" fontId="0" fillId="0" borderId="3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 wrapText="1"/>
    </xf>
    <xf numFmtId="0" fontId="8" fillId="0" borderId="98" xfId="0" applyFont="1" applyFill="1" applyBorder="1" applyAlignment="1">
      <alignment horizontal="center" vertical="center" wrapText="1"/>
    </xf>
    <xf numFmtId="0" fontId="0" fillId="0" borderId="73" xfId="0" applyFont="1" applyFill="1" applyBorder="1" applyAlignment="1">
      <alignment horizontal="center" vertical="center" wrapText="1"/>
    </xf>
    <xf numFmtId="0" fontId="0" fillId="0" borderId="74" xfId="0" applyFont="1" applyFill="1" applyBorder="1" applyAlignment="1">
      <alignment horizontal="center" vertical="center" wrapText="1"/>
    </xf>
    <xf numFmtId="0" fontId="8" fillId="0" borderId="75" xfId="0" applyFont="1" applyFill="1" applyBorder="1" applyAlignment="1">
      <alignment horizontal="center" vertical="center" wrapText="1"/>
    </xf>
    <xf numFmtId="0" fontId="0" fillId="0" borderId="10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11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1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65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 wrapText="1"/>
    </xf>
    <xf numFmtId="0" fontId="4" fillId="0" borderId="68" xfId="0" applyFont="1" applyFill="1" applyBorder="1" applyAlignment="1">
      <alignment horizontal="center" vertical="center" wrapText="1"/>
    </xf>
    <xf numFmtId="0" fontId="2" fillId="0" borderId="64" xfId="0" applyFont="1" applyFill="1" applyBorder="1" applyAlignment="1">
      <alignment horizontal="center" vertical="center" wrapText="1"/>
    </xf>
    <xf numFmtId="0" fontId="5" fillId="0" borderId="61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60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88" xfId="0" applyFont="1" applyFill="1" applyBorder="1" applyAlignment="1">
      <alignment horizontal="center" vertical="center" wrapText="1"/>
    </xf>
    <xf numFmtId="0" fontId="2" fillId="0" borderId="90" xfId="0" applyFont="1" applyFill="1" applyBorder="1" applyAlignment="1">
      <alignment horizontal="center" vertical="center" wrapText="1"/>
    </xf>
    <xf numFmtId="0" fontId="9" fillId="0" borderId="117" xfId="0" applyFont="1" applyFill="1" applyBorder="1" applyAlignment="1">
      <alignment wrapText="1"/>
    </xf>
    <xf numFmtId="0" fontId="0" fillId="0" borderId="117" xfId="0" applyFont="1" applyFill="1" applyBorder="1" applyAlignment="1">
      <alignment wrapText="1"/>
    </xf>
    <xf numFmtId="0" fontId="0" fillId="0" borderId="118" xfId="0" applyFont="1" applyFill="1" applyBorder="1" applyAlignment="1">
      <alignment wrapText="1"/>
    </xf>
    <xf numFmtId="0" fontId="1" fillId="0" borderId="47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0" fontId="1" fillId="0" borderId="34" xfId="0" applyFont="1" applyFill="1" applyBorder="1" applyAlignment="1">
      <alignment vertical="top" wrapText="1"/>
    </xf>
    <xf numFmtId="0" fontId="1" fillId="0" borderId="44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0" xfId="0" applyFont="1" applyFill="1" applyBorder="1" applyAlignment="1">
      <alignment vertical="top" wrapText="1"/>
    </xf>
    <xf numFmtId="0" fontId="1" fillId="0" borderId="22" xfId="0" applyFont="1" applyFill="1" applyBorder="1" applyAlignment="1">
      <alignment vertical="top" wrapText="1"/>
    </xf>
    <xf numFmtId="0" fontId="1" fillId="0" borderId="72" xfId="0" applyFont="1" applyFill="1" applyBorder="1" applyAlignment="1">
      <alignment vertical="top" wrapText="1"/>
    </xf>
    <xf numFmtId="0" fontId="1" fillId="0" borderId="6" xfId="0" applyFont="1" applyFill="1" applyBorder="1" applyAlignment="1">
      <alignment vertical="top" wrapText="1"/>
    </xf>
    <xf numFmtId="0" fontId="5" fillId="0" borderId="98" xfId="0" applyFont="1" applyFill="1" applyBorder="1" applyAlignment="1">
      <alignment horizontal="center" vertical="center" wrapText="1"/>
    </xf>
    <xf numFmtId="0" fontId="5" fillId="0" borderId="74" xfId="0" applyFont="1" applyFill="1" applyBorder="1" applyAlignment="1">
      <alignment horizontal="center" vertical="center" wrapText="1"/>
    </xf>
    <xf numFmtId="0" fontId="5" fillId="0" borderId="99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horizontal="center" vertical="center" wrapText="1"/>
    </xf>
    <xf numFmtId="0" fontId="5" fillId="0" borderId="73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0" fillId="0" borderId="0" xfId="0" applyFill="1" applyAlignment="1">
      <alignment wrapText="1"/>
    </xf>
    <xf numFmtId="0" fontId="3" fillId="0" borderId="89" xfId="0" applyFont="1" applyFill="1" applyBorder="1" applyAlignment="1">
      <alignment horizontal="center" vertical="top" wrapText="1"/>
    </xf>
    <xf numFmtId="0" fontId="0" fillId="0" borderId="89" xfId="0" applyFill="1" applyBorder="1" applyAlignment="1">
      <alignment wrapText="1"/>
    </xf>
    <xf numFmtId="0" fontId="9" fillId="0" borderId="47" xfId="0" applyFont="1" applyFill="1" applyBorder="1" applyAlignment="1">
      <alignment horizontal="center" vertical="center" wrapText="1"/>
    </xf>
    <xf numFmtId="0" fontId="9" fillId="0" borderId="113" xfId="0" applyFont="1" applyFill="1" applyBorder="1" applyAlignment="1">
      <alignment horizontal="center" vertical="center" wrapText="1"/>
    </xf>
    <xf numFmtId="0" fontId="9" fillId="0" borderId="44" xfId="0" applyFont="1" applyFill="1" applyBorder="1" applyAlignment="1">
      <alignment horizontal="center" vertical="center" wrapText="1"/>
    </xf>
    <xf numFmtId="0" fontId="9" fillId="0" borderId="114" xfId="0" applyFont="1" applyFill="1" applyBorder="1" applyAlignment="1">
      <alignment horizontal="center" vertical="center" wrapText="1"/>
    </xf>
    <xf numFmtId="0" fontId="9" fillId="0" borderId="94" xfId="0" applyFont="1" applyFill="1" applyBorder="1" applyAlignment="1">
      <alignment horizontal="center" vertical="center" wrapText="1"/>
    </xf>
    <xf numFmtId="0" fontId="9" fillId="0" borderId="12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89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90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89" xfId="0" applyFont="1" applyFill="1" applyBorder="1" applyAlignment="1">
      <alignment horizontal="center" vertical="center" wrapText="1"/>
    </xf>
    <xf numFmtId="0" fontId="5" fillId="0" borderId="108" xfId="0" applyFont="1" applyFill="1" applyBorder="1" applyAlignment="1">
      <alignment horizontal="center" vertical="center" wrapText="1"/>
    </xf>
    <xf numFmtId="0" fontId="0" fillId="0" borderId="108" xfId="0" applyFont="1" applyFill="1" applyBorder="1" applyAlignment="1">
      <alignment horizontal="center" vertical="center" wrapText="1"/>
    </xf>
    <xf numFmtId="0" fontId="0" fillId="0" borderId="109" xfId="0" applyFont="1" applyFill="1" applyBorder="1" applyAlignment="1">
      <alignment horizontal="center" vertical="center" wrapText="1"/>
    </xf>
    <xf numFmtId="0" fontId="5" fillId="0" borderId="91" xfId="0" applyFont="1" applyFill="1" applyBorder="1" applyAlignment="1">
      <alignment horizontal="center" vertical="center" wrapText="1"/>
    </xf>
    <xf numFmtId="0" fontId="0" fillId="0" borderId="93" xfId="0" applyFont="1" applyFill="1" applyBorder="1" applyAlignment="1">
      <alignment horizontal="center" vertical="center" wrapText="1"/>
    </xf>
    <xf numFmtId="0" fontId="8" fillId="0" borderId="8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wrapText="1"/>
    </xf>
    <xf numFmtId="0" fontId="7" fillId="0" borderId="92" xfId="0" applyFont="1" applyFill="1" applyBorder="1" applyAlignment="1">
      <alignment horizontal="center" vertical="center" wrapText="1"/>
    </xf>
    <xf numFmtId="0" fontId="0" fillId="0" borderId="127" xfId="0" applyFont="1" applyFill="1" applyBorder="1" applyAlignment="1">
      <alignment horizontal="center" vertical="center" wrapText="1"/>
    </xf>
    <xf numFmtId="0" fontId="0" fillId="0" borderId="63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wrapText="1"/>
    </xf>
    <xf numFmtId="0" fontId="5" fillId="0" borderId="92" xfId="0" applyFont="1" applyFill="1" applyBorder="1" applyAlignment="1">
      <alignment horizontal="center" vertical="center" wrapText="1"/>
    </xf>
    <xf numFmtId="0" fontId="0" fillId="0" borderId="93" xfId="0" applyFont="1" applyFill="1" applyBorder="1" applyAlignment="1">
      <alignment wrapText="1"/>
    </xf>
    <xf numFmtId="0" fontId="0" fillId="0" borderId="62" xfId="0" applyFont="1" applyFill="1" applyBorder="1" applyAlignment="1">
      <alignment wrapText="1"/>
    </xf>
    <xf numFmtId="0" fontId="0" fillId="0" borderId="72" xfId="0" applyFont="1" applyFill="1" applyBorder="1" applyAlignment="1">
      <alignment wrapText="1"/>
    </xf>
    <xf numFmtId="0" fontId="0" fillId="0" borderId="131" xfId="0" applyFont="1" applyFill="1" applyBorder="1" applyAlignment="1">
      <alignment wrapText="1"/>
    </xf>
    <xf numFmtId="0" fontId="0" fillId="0" borderId="124" xfId="0" applyFont="1" applyFill="1" applyBorder="1" applyAlignment="1">
      <alignment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vertical="top" wrapText="1"/>
    </xf>
    <xf numFmtId="0" fontId="1" fillId="0" borderId="37" xfId="0" applyFont="1" applyFill="1" applyBorder="1" applyAlignment="1">
      <alignment vertical="top" wrapText="1"/>
    </xf>
    <xf numFmtId="0" fontId="1" fillId="0" borderId="18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53" xfId="0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1" fillId="0" borderId="30" xfId="0" applyFont="1" applyBorder="1" applyAlignment="1">
      <alignment vertical="top" wrapText="1"/>
    </xf>
    <xf numFmtId="0" fontId="8" fillId="0" borderId="35" xfId="0" applyNumberFormat="1" applyFont="1" applyFill="1" applyBorder="1" applyAlignment="1">
      <alignment horizontal="center" vertical="top" wrapText="1"/>
    </xf>
    <xf numFmtId="0" fontId="8" fillId="0" borderId="15" xfId="0" applyNumberFormat="1" applyFont="1" applyFill="1" applyBorder="1" applyAlignment="1">
      <alignment horizontal="center" vertical="top" wrapText="1"/>
    </xf>
    <xf numFmtId="0" fontId="8" fillId="0" borderId="7" xfId="0" applyNumberFormat="1" applyFont="1" applyFill="1" applyBorder="1" applyAlignment="1">
      <alignment horizontal="center" vertical="top" wrapText="1"/>
    </xf>
    <xf numFmtId="0" fontId="8" fillId="0" borderId="133" xfId="0" applyFont="1" applyFill="1" applyBorder="1" applyAlignment="1">
      <alignment horizontal="center" vertical="top" wrapText="1"/>
    </xf>
    <xf numFmtId="0" fontId="8" fillId="0" borderId="101" xfId="0" applyFont="1" applyFill="1" applyBorder="1" applyAlignment="1">
      <alignment horizontal="center" vertical="top" wrapText="1"/>
    </xf>
    <xf numFmtId="0" fontId="8" fillId="0" borderId="123" xfId="0" applyFont="1" applyFill="1" applyBorder="1" applyAlignment="1">
      <alignment horizontal="center" vertical="top" wrapText="1"/>
    </xf>
    <xf numFmtId="0" fontId="8" fillId="0" borderId="99" xfId="0" applyFont="1" applyFill="1" applyBorder="1" applyAlignment="1">
      <alignment horizontal="center" vertical="top" wrapText="1"/>
    </xf>
    <xf numFmtId="0" fontId="8" fillId="0" borderId="100" xfId="0" applyFont="1" applyFill="1" applyBorder="1" applyAlignment="1">
      <alignment horizontal="center" vertical="top" wrapText="1"/>
    </xf>
    <xf numFmtId="0" fontId="1" fillId="0" borderId="17" xfId="0" applyFont="1" applyFill="1" applyBorder="1" applyAlignment="1">
      <alignment horizontal="left" vertical="top" wrapText="1"/>
    </xf>
    <xf numFmtId="0" fontId="1" fillId="0" borderId="37" xfId="0" applyFont="1" applyFill="1" applyBorder="1" applyAlignment="1">
      <alignment horizontal="left" vertical="top" wrapText="1"/>
    </xf>
    <xf numFmtId="0" fontId="1" fillId="0" borderId="18" xfId="0" applyFont="1" applyFill="1" applyBorder="1" applyAlignment="1">
      <alignment horizontal="left" vertical="top" wrapText="1"/>
    </xf>
    <xf numFmtId="0" fontId="1" fillId="0" borderId="44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top" wrapText="1"/>
    </xf>
    <xf numFmtId="0" fontId="1" fillId="0" borderId="53" xfId="0" applyFont="1" applyFill="1" applyBorder="1" applyAlignment="1">
      <alignment horizontal="left" vertical="top" wrapText="1"/>
    </xf>
    <xf numFmtId="0" fontId="1" fillId="0" borderId="32" xfId="0" applyFont="1" applyFill="1" applyBorder="1" applyAlignment="1">
      <alignment horizontal="left" vertical="top" wrapText="1"/>
    </xf>
    <xf numFmtId="0" fontId="1" fillId="0" borderId="30" xfId="0" applyFont="1" applyFill="1" applyBorder="1" applyAlignment="1">
      <alignment horizontal="left" vertical="top" wrapText="1"/>
    </xf>
    <xf numFmtId="0" fontId="0" fillId="0" borderId="13" xfId="0" applyFont="1" applyFill="1" applyBorder="1" applyAlignment="1">
      <alignment horizontal="center" vertical="top" wrapText="1"/>
    </xf>
    <xf numFmtId="0" fontId="0" fillId="0" borderId="15" xfId="0" applyFont="1" applyFill="1" applyBorder="1" applyAlignment="1">
      <alignment horizontal="center" vertical="top" wrapText="1"/>
    </xf>
    <xf numFmtId="0" fontId="0" fillId="0" borderId="40" xfId="0" applyFont="1" applyFill="1" applyBorder="1" applyAlignment="1">
      <alignment horizontal="center" vertical="top" wrapText="1"/>
    </xf>
    <xf numFmtId="12" fontId="8" fillId="0" borderId="46" xfId="0" applyNumberFormat="1" applyFont="1" applyFill="1" applyBorder="1" applyAlignment="1">
      <alignment horizontal="center" vertical="top"/>
    </xf>
    <xf numFmtId="0" fontId="8" fillId="0" borderId="33" xfId="0" applyNumberFormat="1" applyFont="1" applyFill="1" applyBorder="1" applyAlignment="1">
      <alignment horizontal="center" vertical="top"/>
    </xf>
    <xf numFmtId="0" fontId="8" fillId="0" borderId="23" xfId="0" applyNumberFormat="1" applyFont="1" applyFill="1" applyBorder="1" applyAlignment="1">
      <alignment horizontal="center" vertical="top"/>
    </xf>
    <xf numFmtId="0" fontId="8" fillId="0" borderId="13" xfId="0" applyNumberFormat="1" applyFont="1" applyFill="1" applyBorder="1" applyAlignment="1">
      <alignment horizontal="center" vertical="top"/>
    </xf>
    <xf numFmtId="0" fontId="8" fillId="0" borderId="15" xfId="0" applyNumberFormat="1" applyFont="1" applyFill="1" applyBorder="1" applyAlignment="1">
      <alignment horizontal="center" vertical="top"/>
    </xf>
    <xf numFmtId="0" fontId="8" fillId="0" borderId="40" xfId="0" applyNumberFormat="1" applyFont="1" applyFill="1" applyBorder="1" applyAlignment="1">
      <alignment horizontal="center" vertical="top"/>
    </xf>
    <xf numFmtId="12" fontId="8" fillId="0" borderId="19" xfId="0" applyNumberFormat="1" applyFont="1" applyFill="1" applyBorder="1" applyAlignment="1">
      <alignment horizontal="center" vertical="top"/>
    </xf>
    <xf numFmtId="0" fontId="8" fillId="0" borderId="65" xfId="0" applyNumberFormat="1" applyFont="1" applyFill="1" applyBorder="1" applyAlignment="1">
      <alignment horizontal="center" vertical="top"/>
    </xf>
    <xf numFmtId="0" fontId="8" fillId="0" borderId="39" xfId="0" applyFont="1" applyFill="1" applyBorder="1" applyAlignment="1">
      <alignment horizontal="center" vertical="top"/>
    </xf>
    <xf numFmtId="0" fontId="8" fillId="0" borderId="12" xfId="0" applyFont="1" applyFill="1" applyBorder="1" applyAlignment="1">
      <alignment horizontal="center" vertical="top"/>
    </xf>
    <xf numFmtId="0" fontId="8" fillId="0" borderId="21" xfId="0" applyFont="1" applyFill="1" applyBorder="1" applyAlignment="1">
      <alignment horizontal="center" vertical="top"/>
    </xf>
    <xf numFmtId="0" fontId="8" fillId="0" borderId="16" xfId="0" applyFont="1" applyFill="1" applyBorder="1" applyAlignment="1">
      <alignment horizontal="center" vertical="top"/>
    </xf>
    <xf numFmtId="0" fontId="8" fillId="0" borderId="38" xfId="0" applyFont="1" applyFill="1" applyBorder="1" applyAlignment="1">
      <alignment horizontal="center" vertical="top"/>
    </xf>
    <xf numFmtId="0" fontId="8" fillId="0" borderId="46" xfId="0" applyNumberFormat="1" applyFont="1" applyFill="1" applyBorder="1" applyAlignment="1">
      <alignment horizontal="center" vertical="top" wrapText="1"/>
    </xf>
    <xf numFmtId="0" fontId="8" fillId="0" borderId="33" xfId="0" applyNumberFormat="1" applyFont="1" applyFill="1" applyBorder="1" applyAlignment="1">
      <alignment horizontal="center" vertical="top" wrapText="1"/>
    </xf>
    <xf numFmtId="0" fontId="8" fillId="0" borderId="23" xfId="0" applyNumberFormat="1" applyFont="1" applyFill="1" applyBorder="1" applyAlignment="1">
      <alignment horizontal="center" vertical="top" wrapText="1"/>
    </xf>
    <xf numFmtId="0" fontId="8" fillId="0" borderId="19" xfId="0" applyNumberFormat="1" applyFont="1" applyFill="1" applyBorder="1" applyAlignment="1">
      <alignment horizontal="center" vertical="top"/>
    </xf>
    <xf numFmtId="0" fontId="5" fillId="0" borderId="102" xfId="0" applyFont="1" applyFill="1" applyBorder="1" applyAlignment="1">
      <alignment horizontal="left" vertical="top" wrapText="1"/>
    </xf>
    <xf numFmtId="0" fontId="0" fillId="0" borderId="128" xfId="0" applyFont="1" applyFill="1" applyBorder="1" applyAlignment="1">
      <alignment horizontal="left" vertical="top" wrapText="1"/>
    </xf>
    <xf numFmtId="0" fontId="5" fillId="0" borderId="76" xfId="0" applyFont="1" applyFill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5" fillId="0" borderId="43" xfId="0" applyFont="1" applyFill="1" applyBorder="1" applyAlignment="1">
      <alignment horizontal="left" vertical="top" wrapText="1"/>
    </xf>
    <xf numFmtId="0" fontId="5" fillId="0" borderId="106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7" fillId="0" borderId="107" xfId="0" applyFont="1" applyFill="1" applyBorder="1" applyAlignment="1">
      <alignment horizontal="center" vertical="center" wrapText="1"/>
    </xf>
    <xf numFmtId="0" fontId="7" fillId="0" borderId="108" xfId="0" applyFont="1" applyFill="1" applyBorder="1" applyAlignment="1">
      <alignment horizontal="center" vertical="center" wrapText="1"/>
    </xf>
    <xf numFmtId="0" fontId="12" fillId="0" borderId="109" xfId="0" applyFont="1" applyFill="1" applyBorder="1" applyAlignment="1">
      <alignment wrapText="1"/>
    </xf>
    <xf numFmtId="0" fontId="7" fillId="0" borderId="68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12" fillId="0" borderId="110" xfId="0" applyFont="1" applyFill="1" applyBorder="1" applyAlignment="1">
      <alignment wrapText="1"/>
    </xf>
    <xf numFmtId="0" fontId="13" fillId="0" borderId="88" xfId="0" applyFont="1" applyFill="1" applyBorder="1" applyAlignment="1">
      <alignment horizontal="center" vertical="top" wrapText="1"/>
    </xf>
    <xf numFmtId="0" fontId="13" fillId="0" borderId="89" xfId="0" applyFont="1" applyFill="1" applyBorder="1" applyAlignment="1">
      <alignment horizontal="center" vertical="top" wrapText="1"/>
    </xf>
    <xf numFmtId="0" fontId="14" fillId="0" borderId="121" xfId="0" applyFont="1" applyFill="1" applyBorder="1" applyAlignment="1">
      <alignment horizontal="center" vertical="top" wrapText="1"/>
    </xf>
    <xf numFmtId="0" fontId="3" fillId="0" borderId="67" xfId="0" applyFont="1" applyFill="1" applyBorder="1" applyAlignment="1">
      <alignment horizontal="center" vertical="top" wrapText="1"/>
    </xf>
    <xf numFmtId="0" fontId="3" fillId="0" borderId="70" xfId="0" applyFont="1" applyFill="1" applyBorder="1" applyAlignment="1">
      <alignment horizontal="center" vertical="top" wrapText="1"/>
    </xf>
    <xf numFmtId="0" fontId="10" fillId="0" borderId="122" xfId="0" applyFont="1" applyFill="1" applyBorder="1" applyAlignment="1">
      <alignment horizontal="center" vertical="top" wrapText="1"/>
    </xf>
    <xf numFmtId="0" fontId="8" fillId="0" borderId="35" xfId="0" applyNumberFormat="1" applyFont="1" applyFill="1" applyBorder="1" applyAlignment="1">
      <alignment horizontal="center" vertical="top"/>
    </xf>
    <xf numFmtId="0" fontId="8" fillId="0" borderId="7" xfId="0" applyNumberFormat="1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K24"/>
  <sheetViews>
    <sheetView view="pageLayout" topLeftCell="C1" zoomScale="85" zoomScaleNormal="100" zoomScalePageLayoutView="85" workbookViewId="0">
      <selection activeCell="F19" sqref="F19:R19"/>
    </sheetView>
  </sheetViews>
  <sheetFormatPr defaultRowHeight="12.75"/>
  <cols>
    <col min="1" max="1" width="2.5703125" customWidth="1"/>
    <col min="2" max="2" width="1.85546875" customWidth="1"/>
    <col min="3" max="4" width="1.42578125" customWidth="1"/>
    <col min="5" max="5" width="1.85546875" customWidth="1"/>
    <col min="21" max="60" width="2.7109375" customWidth="1"/>
  </cols>
  <sheetData>
    <row r="1" spans="2:37" ht="14.25" customHeight="1">
      <c r="U1" s="2"/>
      <c r="V1" s="2"/>
      <c r="W1" s="2"/>
      <c r="X1" s="2"/>
      <c r="Y1" s="2"/>
      <c r="Z1" s="2"/>
      <c r="AA1" s="2"/>
      <c r="AB1" s="11"/>
      <c r="AC1" s="11"/>
      <c r="AD1" s="11"/>
      <c r="AE1" s="11"/>
      <c r="AF1" s="11"/>
      <c r="AG1" s="11"/>
      <c r="AH1" s="11"/>
      <c r="AI1" s="2"/>
      <c r="AJ1" s="11"/>
      <c r="AK1" s="11"/>
    </row>
    <row r="2" spans="2:37" ht="14.25" customHeight="1"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2:37" ht="14.25" customHeight="1">
      <c r="N3" s="448"/>
      <c r="O3" s="448"/>
      <c r="P3" s="448"/>
      <c r="Q3" s="448" t="s">
        <v>4</v>
      </c>
      <c r="R3" s="448"/>
      <c r="S3" s="448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2:37" ht="14.25" customHeight="1">
      <c r="N4" s="448"/>
      <c r="O4" s="448"/>
      <c r="P4" s="448"/>
      <c r="Q4" s="448" t="s">
        <v>248</v>
      </c>
      <c r="R4" s="448"/>
      <c r="S4" s="448"/>
      <c r="U4" s="2"/>
      <c r="V4" s="2"/>
      <c r="W4" s="2"/>
      <c r="X4" s="2"/>
      <c r="Y4" s="2"/>
      <c r="Z4" s="2"/>
      <c r="AA4" s="2"/>
      <c r="AB4" s="2"/>
      <c r="AC4" s="11"/>
      <c r="AD4" s="11"/>
      <c r="AE4" s="11"/>
      <c r="AF4" s="11"/>
      <c r="AG4" s="11"/>
      <c r="AH4" s="11"/>
      <c r="AI4" s="11"/>
      <c r="AJ4" s="11"/>
      <c r="AK4" s="11"/>
    </row>
    <row r="5" spans="2:37" ht="14.25" customHeight="1">
      <c r="N5" s="449"/>
      <c r="O5" s="449"/>
      <c r="P5" s="449"/>
      <c r="Q5" s="450" t="s">
        <v>249</v>
      </c>
      <c r="R5" s="450"/>
      <c r="S5" s="450"/>
      <c r="U5" s="11"/>
      <c r="V5" s="11"/>
      <c r="W5" s="2"/>
      <c r="X5" s="2"/>
      <c r="Y5" s="11"/>
      <c r="Z5" s="11"/>
      <c r="AA5" s="2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2:37" ht="14.25" customHeight="1">
      <c r="N6" s="443"/>
      <c r="O6" s="444"/>
      <c r="P6" s="444"/>
      <c r="Q6" s="445" t="s">
        <v>250</v>
      </c>
      <c r="R6" s="446"/>
      <c r="S6" s="446"/>
      <c r="U6" s="2"/>
      <c r="V6" s="2"/>
      <c r="W6" s="2"/>
      <c r="X6" s="2"/>
      <c r="Y6" s="2"/>
      <c r="Z6" s="2"/>
      <c r="AA6" s="2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2:37" ht="14.25" customHeight="1">
      <c r="K7" s="364"/>
      <c r="N7" s="447"/>
      <c r="O7" s="447"/>
      <c r="P7" s="447"/>
      <c r="Q7" s="447" t="s">
        <v>251</v>
      </c>
      <c r="R7" s="447"/>
      <c r="S7" s="447"/>
      <c r="U7" s="11"/>
      <c r="V7" s="13"/>
      <c r="W7" s="13"/>
      <c r="X7" s="13"/>
      <c r="Y7" s="11"/>
      <c r="Z7" s="13"/>
      <c r="AA7" s="13"/>
      <c r="AB7" s="13"/>
      <c r="AC7" s="11"/>
      <c r="AD7" s="11"/>
      <c r="AE7" s="11"/>
      <c r="AF7" s="11"/>
      <c r="AG7" s="11"/>
      <c r="AH7" s="11"/>
      <c r="AI7" s="11"/>
      <c r="AJ7" s="11"/>
      <c r="AK7" s="11"/>
    </row>
    <row r="8" spans="2:37">
      <c r="N8" s="447"/>
      <c r="O8" s="447"/>
      <c r="P8" s="447"/>
      <c r="Q8" s="447"/>
      <c r="R8" s="447"/>
      <c r="S8" s="447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2:37"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2" spans="2:37" ht="6" customHeight="1"/>
    <row r="13" spans="2:37" ht="17.25" customHeight="1">
      <c r="B13" s="429" t="s">
        <v>146</v>
      </c>
      <c r="C13" s="430"/>
      <c r="D13" s="430"/>
      <c r="E13" s="430"/>
      <c r="F13" s="430"/>
      <c r="G13" s="430"/>
      <c r="H13" s="430"/>
      <c r="I13" s="430"/>
      <c r="J13" s="430"/>
      <c r="K13" s="430"/>
      <c r="L13" s="430"/>
      <c r="M13" s="430"/>
      <c r="N13" s="430"/>
      <c r="O13" s="430"/>
      <c r="P13" s="430"/>
      <c r="Q13" s="430"/>
      <c r="R13" s="430"/>
      <c r="S13" s="430"/>
      <c r="T13" s="430"/>
    </row>
    <row r="14" spans="2:37" ht="16.5" customHeight="1">
      <c r="B14" s="429" t="s">
        <v>252</v>
      </c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431"/>
    </row>
    <row r="15" spans="2:37" ht="18.75" customHeight="1">
      <c r="B15" s="432" t="s">
        <v>253</v>
      </c>
      <c r="C15" s="432"/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3"/>
      <c r="R15" s="433"/>
      <c r="S15" s="433"/>
      <c r="T15" s="433"/>
    </row>
    <row r="16" spans="2:37">
      <c r="B16" s="364"/>
      <c r="C16" s="364"/>
      <c r="D16" s="364"/>
      <c r="E16" s="364"/>
      <c r="F16" s="364"/>
      <c r="G16" s="364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</row>
    <row r="17" spans="2:20" ht="17.25" customHeight="1">
      <c r="B17" s="434" t="s">
        <v>254</v>
      </c>
      <c r="C17" s="435"/>
      <c r="D17" s="435"/>
      <c r="E17" s="435"/>
      <c r="F17" s="435"/>
      <c r="G17" s="435"/>
      <c r="H17" s="435"/>
      <c r="I17" s="435"/>
      <c r="J17" s="435"/>
      <c r="K17" s="435"/>
      <c r="L17" s="435"/>
      <c r="M17" s="435"/>
      <c r="N17" s="435"/>
      <c r="O17" s="435"/>
      <c r="P17" s="435"/>
      <c r="Q17" s="435"/>
      <c r="R17" s="435"/>
      <c r="S17" s="435"/>
      <c r="T17" s="435"/>
    </row>
    <row r="19" spans="2:20" ht="14.25" customHeight="1">
      <c r="B19" s="231"/>
      <c r="C19" s="231"/>
      <c r="D19" s="231"/>
      <c r="E19" s="231"/>
      <c r="F19" s="436" t="s">
        <v>261</v>
      </c>
      <c r="G19" s="437"/>
      <c r="H19" s="437"/>
      <c r="I19" s="437"/>
      <c r="J19" s="437"/>
      <c r="K19" s="437"/>
      <c r="L19" s="437"/>
      <c r="M19" s="437"/>
      <c r="N19" s="437"/>
      <c r="O19" s="437"/>
      <c r="P19" s="437"/>
      <c r="Q19" s="437"/>
      <c r="R19" s="437"/>
      <c r="S19" s="365"/>
      <c r="T19" s="231"/>
    </row>
    <row r="20" spans="2:20" ht="12.75" customHeight="1">
      <c r="B20" s="438" t="s">
        <v>255</v>
      </c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</row>
    <row r="22" spans="2:20" ht="15.75" customHeight="1">
      <c r="B22" s="366"/>
      <c r="C22" s="367"/>
      <c r="D22" s="367"/>
      <c r="E22" s="367"/>
      <c r="F22" s="368"/>
      <c r="G22" s="440" t="s">
        <v>256</v>
      </c>
      <c r="H22" s="441"/>
      <c r="I22" s="441"/>
      <c r="J22" s="441"/>
      <c r="K22" s="442" t="s">
        <v>257</v>
      </c>
      <c r="L22" s="437"/>
      <c r="M22" s="437"/>
      <c r="N22" s="437"/>
      <c r="O22" s="437"/>
      <c r="P22" s="437"/>
      <c r="Q22" s="437"/>
      <c r="R22" s="437"/>
      <c r="S22" s="369"/>
      <c r="T22" s="367"/>
    </row>
    <row r="24" spans="2:20" ht="15.75" customHeight="1">
      <c r="B24" s="366" t="s">
        <v>258</v>
      </c>
      <c r="C24" s="367"/>
      <c r="D24" s="367"/>
      <c r="E24" s="367"/>
      <c r="F24" s="367"/>
      <c r="G24" s="440" t="s">
        <v>259</v>
      </c>
      <c r="H24" s="440"/>
      <c r="I24" s="440"/>
      <c r="J24" s="442" t="s">
        <v>260</v>
      </c>
      <c r="K24" s="442"/>
      <c r="L24" s="442"/>
      <c r="M24" s="367"/>
      <c r="N24" s="367"/>
      <c r="O24" s="367"/>
      <c r="P24" s="367"/>
      <c r="Q24" s="367"/>
      <c r="R24" s="367"/>
      <c r="S24" s="367"/>
      <c r="T24" s="367"/>
    </row>
  </sheetData>
  <mergeCells count="20">
    <mergeCell ref="N6:P6"/>
    <mergeCell ref="Q6:S6"/>
    <mergeCell ref="N7:P8"/>
    <mergeCell ref="Q7:S8"/>
    <mergeCell ref="N3:P3"/>
    <mergeCell ref="Q3:S3"/>
    <mergeCell ref="N4:P4"/>
    <mergeCell ref="Q4:S4"/>
    <mergeCell ref="N5:P5"/>
    <mergeCell ref="Q5:S5"/>
    <mergeCell ref="B20:T20"/>
    <mergeCell ref="G22:J22"/>
    <mergeCell ref="K22:R22"/>
    <mergeCell ref="G24:I24"/>
    <mergeCell ref="J24:L24"/>
    <mergeCell ref="B13:T13"/>
    <mergeCell ref="B14:T14"/>
    <mergeCell ref="B15:T15"/>
    <mergeCell ref="B17:T17"/>
    <mergeCell ref="F19:R19"/>
  </mergeCells>
  <printOptions horizontalCentered="1"/>
  <pageMargins left="0" right="0" top="0.78740157480314965" bottom="0.39370078740157483" header="0.39370078740157483" footer="0"/>
  <pageSetup paperSize="9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00"/>
  <sheetViews>
    <sheetView tabSelected="1" zoomScale="70" zoomScaleNormal="70" workbookViewId="0">
      <selection activeCell="J49" sqref="J1:J1048576"/>
    </sheetView>
  </sheetViews>
  <sheetFormatPr defaultRowHeight="12.75"/>
  <cols>
    <col min="1" max="1" width="11.7109375" customWidth="1"/>
    <col min="2" max="2" width="41.42578125" customWidth="1"/>
    <col min="3" max="3" width="5.140625" customWidth="1"/>
    <col min="4" max="4" width="6.85546875" customWidth="1"/>
    <col min="5" max="6" width="3.5703125" style="11" customWidth="1"/>
    <col min="7" max="7" width="4.85546875" customWidth="1"/>
    <col min="8" max="9" width="7.42578125" customWidth="1"/>
    <col min="10" max="11" width="6.42578125" bestFit="1" customWidth="1"/>
    <col min="12" max="12" width="6.7109375" bestFit="1" customWidth="1"/>
    <col min="13" max="13" width="10.140625" bestFit="1" customWidth="1"/>
    <col min="14" max="14" width="7.140625" customWidth="1"/>
    <col min="15" max="15" width="4" customWidth="1"/>
    <col min="16" max="18" width="4.28515625" customWidth="1"/>
    <col min="19" max="20" width="4.140625" customWidth="1"/>
    <col min="21" max="22" width="4" customWidth="1"/>
    <col min="23" max="33" width="4.85546875" customWidth="1"/>
  </cols>
  <sheetData>
    <row r="1" spans="1:22" ht="15.75" customHeight="1" thickBot="1">
      <c r="A1" s="451" t="s">
        <v>265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</row>
    <row r="2" spans="1:22" ht="24" customHeight="1" thickBot="1">
      <c r="A2" s="453" t="s">
        <v>72</v>
      </c>
      <c r="B2" s="455" t="s">
        <v>38</v>
      </c>
      <c r="C2" s="457" t="s">
        <v>74</v>
      </c>
      <c r="D2" s="458"/>
      <c r="E2" s="458"/>
      <c r="F2" s="459"/>
      <c r="G2" s="460" t="s">
        <v>35</v>
      </c>
      <c r="H2" s="461"/>
      <c r="I2" s="373" t="s">
        <v>264</v>
      </c>
      <c r="J2" s="457" t="s">
        <v>36</v>
      </c>
      <c r="K2" s="462"/>
      <c r="L2" s="462"/>
      <c r="M2" s="462"/>
      <c r="N2" s="463"/>
      <c r="O2" s="479" t="s">
        <v>37</v>
      </c>
      <c r="P2" s="480"/>
      <c r="Q2" s="480"/>
      <c r="R2" s="480"/>
      <c r="S2" s="480"/>
      <c r="T2" s="480"/>
      <c r="U2" s="480"/>
      <c r="V2" s="481"/>
    </row>
    <row r="3" spans="1:22">
      <c r="A3" s="454"/>
      <c r="B3" s="456"/>
      <c r="C3" s="470" t="s">
        <v>29</v>
      </c>
      <c r="D3" s="473" t="s">
        <v>73</v>
      </c>
      <c r="E3" s="473" t="s">
        <v>60</v>
      </c>
      <c r="F3" s="476" t="s">
        <v>0</v>
      </c>
      <c r="G3" s="464" t="s">
        <v>39</v>
      </c>
      <c r="H3" s="467" t="s">
        <v>40</v>
      </c>
      <c r="I3" s="485" t="s">
        <v>40</v>
      </c>
      <c r="J3" s="470" t="s">
        <v>30</v>
      </c>
      <c r="K3" s="473" t="s">
        <v>15</v>
      </c>
      <c r="L3" s="473" t="s">
        <v>31</v>
      </c>
      <c r="M3" s="473" t="s">
        <v>211</v>
      </c>
      <c r="N3" s="476" t="s">
        <v>32</v>
      </c>
      <c r="O3" s="482" t="s">
        <v>75</v>
      </c>
      <c r="P3" s="483"/>
      <c r="Q3" s="483" t="s">
        <v>76</v>
      </c>
      <c r="R3" s="483"/>
      <c r="S3" s="483" t="s">
        <v>77</v>
      </c>
      <c r="T3" s="483"/>
      <c r="U3" s="483" t="s">
        <v>78</v>
      </c>
      <c r="V3" s="487"/>
    </row>
    <row r="4" spans="1:22">
      <c r="A4" s="454"/>
      <c r="B4" s="456"/>
      <c r="C4" s="471"/>
      <c r="D4" s="474"/>
      <c r="E4" s="474"/>
      <c r="F4" s="477"/>
      <c r="G4" s="465"/>
      <c r="H4" s="468"/>
      <c r="I4" s="486"/>
      <c r="J4" s="471"/>
      <c r="K4" s="474"/>
      <c r="L4" s="474"/>
      <c r="M4" s="474"/>
      <c r="N4" s="477"/>
      <c r="O4" s="230" t="s">
        <v>25</v>
      </c>
      <c r="P4" s="229" t="s">
        <v>18</v>
      </c>
      <c r="Q4" s="229" t="s">
        <v>19</v>
      </c>
      <c r="R4" s="229" t="s">
        <v>20</v>
      </c>
      <c r="S4" s="229" t="s">
        <v>21</v>
      </c>
      <c r="T4" s="229" t="s">
        <v>22</v>
      </c>
      <c r="U4" s="229" t="s">
        <v>23</v>
      </c>
      <c r="V4" s="237" t="s">
        <v>24</v>
      </c>
    </row>
    <row r="5" spans="1:22">
      <c r="A5" s="454"/>
      <c r="B5" s="456"/>
      <c r="C5" s="471"/>
      <c r="D5" s="474"/>
      <c r="E5" s="474"/>
      <c r="F5" s="477"/>
      <c r="G5" s="465"/>
      <c r="H5" s="468"/>
      <c r="I5" s="486"/>
      <c r="J5" s="471"/>
      <c r="K5" s="474"/>
      <c r="L5" s="474"/>
      <c r="M5" s="474"/>
      <c r="N5" s="477"/>
      <c r="O5" s="230" t="s">
        <v>17</v>
      </c>
      <c r="P5" s="229" t="s">
        <v>17</v>
      </c>
      <c r="Q5" s="229" t="s">
        <v>17</v>
      </c>
      <c r="R5" s="229" t="s">
        <v>17</v>
      </c>
      <c r="S5" s="229" t="s">
        <v>17</v>
      </c>
      <c r="T5" s="229" t="s">
        <v>17</v>
      </c>
      <c r="U5" s="229" t="s">
        <v>17</v>
      </c>
      <c r="V5" s="237" t="s">
        <v>148</v>
      </c>
    </row>
    <row r="6" spans="1:22">
      <c r="A6" s="454"/>
      <c r="B6" s="456"/>
      <c r="C6" s="472"/>
      <c r="D6" s="475"/>
      <c r="E6" s="475"/>
      <c r="F6" s="478"/>
      <c r="G6" s="466"/>
      <c r="H6" s="469"/>
      <c r="I6" s="486"/>
      <c r="J6" s="472"/>
      <c r="K6" s="475"/>
      <c r="L6" s="475"/>
      <c r="M6" s="475"/>
      <c r="N6" s="478"/>
      <c r="O6" s="488"/>
      <c r="P6" s="489"/>
      <c r="Q6" s="489"/>
      <c r="R6" s="489"/>
      <c r="S6" s="489"/>
      <c r="T6" s="489"/>
      <c r="U6" s="489"/>
      <c r="V6" s="490"/>
    </row>
    <row r="7" spans="1:22" ht="13.5" thickBot="1">
      <c r="A7" s="4">
        <v>1</v>
      </c>
      <c r="B7" s="5">
        <v>2</v>
      </c>
      <c r="C7" s="6">
        <v>3</v>
      </c>
      <c r="D7" s="7">
        <v>4</v>
      </c>
      <c r="E7" s="7">
        <v>5</v>
      </c>
      <c r="F7" s="10">
        <v>6</v>
      </c>
      <c r="G7" s="4">
        <v>7</v>
      </c>
      <c r="H7" s="8">
        <v>8</v>
      </c>
      <c r="I7" s="7">
        <v>9</v>
      </c>
      <c r="J7" s="6">
        <v>9</v>
      </c>
      <c r="K7" s="7">
        <v>10</v>
      </c>
      <c r="L7" s="7">
        <v>11</v>
      </c>
      <c r="M7" s="7">
        <v>12</v>
      </c>
      <c r="N7" s="10">
        <v>13</v>
      </c>
      <c r="O7" s="9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8">
        <v>21</v>
      </c>
    </row>
    <row r="8" spans="1:22" ht="26.25" customHeight="1">
      <c r="A8" s="298" t="s">
        <v>65</v>
      </c>
      <c r="B8" s="308" t="s">
        <v>64</v>
      </c>
      <c r="C8" s="80"/>
      <c r="D8" s="81"/>
      <c r="E8" s="81"/>
      <c r="F8" s="82"/>
      <c r="G8" s="77">
        <f t="shared" ref="G8:N8" si="0">G9+G30</f>
        <v>216</v>
      </c>
      <c r="H8" s="199">
        <f t="shared" si="0"/>
        <v>7776</v>
      </c>
      <c r="I8" s="374">
        <v>576</v>
      </c>
      <c r="J8" s="44">
        <f t="shared" si="0"/>
        <v>3546</v>
      </c>
      <c r="K8" s="45">
        <f t="shared" si="0"/>
        <v>4230</v>
      </c>
      <c r="L8" s="45">
        <f t="shared" si="0"/>
        <v>1518</v>
      </c>
      <c r="M8" s="45">
        <f t="shared" si="0"/>
        <v>552</v>
      </c>
      <c r="N8" s="328">
        <f t="shared" si="0"/>
        <v>1476</v>
      </c>
      <c r="O8" s="80"/>
      <c r="P8" s="81"/>
      <c r="Q8" s="81"/>
      <c r="R8" s="81"/>
      <c r="S8" s="81"/>
      <c r="T8" s="81"/>
      <c r="U8" s="81"/>
      <c r="V8" s="82"/>
    </row>
    <row r="9" spans="1:22" s="16" customFormat="1" ht="13.5" customHeight="1">
      <c r="A9" s="299" t="s">
        <v>66</v>
      </c>
      <c r="B9" s="309" t="s">
        <v>11</v>
      </c>
      <c r="C9" s="30"/>
      <c r="D9" s="27"/>
      <c r="E9" s="27"/>
      <c r="F9" s="83"/>
      <c r="G9" s="78">
        <f t="shared" ref="G9:N9" si="1">SUM(G10:G28)</f>
        <v>95</v>
      </c>
      <c r="H9" s="28">
        <f t="shared" si="1"/>
        <v>3420</v>
      </c>
      <c r="I9" s="375">
        <v>576</v>
      </c>
      <c r="J9" s="31">
        <f t="shared" si="1"/>
        <v>1612</v>
      </c>
      <c r="K9" s="29">
        <f t="shared" si="1"/>
        <v>1808</v>
      </c>
      <c r="L9" s="29">
        <f t="shared" si="1"/>
        <v>670</v>
      </c>
      <c r="M9" s="29">
        <f t="shared" si="1"/>
        <v>232</v>
      </c>
      <c r="N9" s="329">
        <f t="shared" si="1"/>
        <v>710</v>
      </c>
      <c r="O9" s="30"/>
      <c r="P9" s="27"/>
      <c r="Q9" s="27"/>
      <c r="R9" s="27"/>
      <c r="S9" s="27"/>
      <c r="T9" s="27"/>
      <c r="U9" s="27"/>
      <c r="V9" s="83"/>
    </row>
    <row r="10" spans="1:22" s="414" customFormat="1">
      <c r="A10" s="347" t="s">
        <v>79</v>
      </c>
      <c r="B10" s="325" t="s">
        <v>14</v>
      </c>
      <c r="C10" s="405">
        <v>5</v>
      </c>
      <c r="D10" s="406">
        <v>4</v>
      </c>
      <c r="E10" s="406"/>
      <c r="F10" s="407"/>
      <c r="G10" s="408">
        <v>12</v>
      </c>
      <c r="H10" s="407">
        <v>432</v>
      </c>
      <c r="I10" s="376">
        <v>144</v>
      </c>
      <c r="J10" s="409">
        <v>162</v>
      </c>
      <c r="K10" s="406">
        <f>H10-J10</f>
        <v>270</v>
      </c>
      <c r="L10" s="406"/>
      <c r="M10" s="406"/>
      <c r="N10" s="410">
        <v>162</v>
      </c>
      <c r="O10" s="411"/>
      <c r="P10" s="412"/>
      <c r="Q10" s="412"/>
      <c r="R10" s="412">
        <v>54</v>
      </c>
      <c r="S10" s="412">
        <v>36</v>
      </c>
      <c r="T10" s="412"/>
      <c r="U10" s="412"/>
      <c r="V10" s="413"/>
    </row>
    <row r="11" spans="1:22" s="414" customFormat="1">
      <c r="A11" s="347" t="s">
        <v>80</v>
      </c>
      <c r="B11" s="415" t="s">
        <v>200</v>
      </c>
      <c r="C11" s="409"/>
      <c r="D11" s="406"/>
      <c r="E11" s="406"/>
      <c r="F11" s="407"/>
      <c r="G11" s="408">
        <f>H11/36</f>
        <v>3</v>
      </c>
      <c r="H11" s="407">
        <v>108</v>
      </c>
      <c r="I11" s="376">
        <v>108</v>
      </c>
      <c r="J11" s="409">
        <f>L11+M11+N11</f>
        <v>54</v>
      </c>
      <c r="K11" s="406">
        <f>H11-J11</f>
        <v>54</v>
      </c>
      <c r="L11" s="406">
        <v>36</v>
      </c>
      <c r="M11" s="406"/>
      <c r="N11" s="410">
        <v>18</v>
      </c>
      <c r="O11" s="411"/>
      <c r="P11" s="412"/>
      <c r="Q11" s="412"/>
      <c r="R11" s="412"/>
      <c r="S11" s="412"/>
      <c r="T11" s="412"/>
      <c r="U11" s="412"/>
      <c r="V11" s="413"/>
    </row>
    <row r="12" spans="1:22" s="414" customFormat="1">
      <c r="A12" s="347" t="s">
        <v>81</v>
      </c>
      <c r="B12" s="416" t="s">
        <v>2</v>
      </c>
      <c r="C12" s="409"/>
      <c r="D12" s="406" t="s">
        <v>196</v>
      </c>
      <c r="E12" s="406"/>
      <c r="F12" s="407"/>
      <c r="G12" s="408">
        <v>3</v>
      </c>
      <c r="H12" s="407">
        <v>108</v>
      </c>
      <c r="I12" s="376"/>
      <c r="J12" s="409">
        <v>54</v>
      </c>
      <c r="K12" s="406">
        <f>H12-J12</f>
        <v>54</v>
      </c>
      <c r="L12" s="406">
        <v>36</v>
      </c>
      <c r="M12" s="406"/>
      <c r="N12" s="410">
        <v>18</v>
      </c>
      <c r="O12" s="411"/>
      <c r="P12" s="412">
        <v>54</v>
      </c>
      <c r="Q12" s="412"/>
      <c r="R12" s="412"/>
      <c r="S12" s="412"/>
      <c r="T12" s="412"/>
      <c r="U12" s="412"/>
      <c r="V12" s="413"/>
    </row>
    <row r="13" spans="1:22" s="414" customFormat="1">
      <c r="A13" s="347" t="s">
        <v>82</v>
      </c>
      <c r="B13" s="325" t="s">
        <v>8</v>
      </c>
      <c r="C13" s="417"/>
      <c r="D13" s="418"/>
      <c r="E13" s="419"/>
      <c r="F13" s="407"/>
      <c r="G13" s="408">
        <f>H13/36</f>
        <v>3</v>
      </c>
      <c r="H13" s="407">
        <v>108</v>
      </c>
      <c r="I13" s="376"/>
      <c r="J13" s="409">
        <v>54</v>
      </c>
      <c r="K13" s="406">
        <f>H13-J13</f>
        <v>54</v>
      </c>
      <c r="L13" s="406">
        <v>24</v>
      </c>
      <c r="M13" s="406">
        <v>12</v>
      </c>
      <c r="N13" s="410">
        <v>18</v>
      </c>
      <c r="O13" s="411"/>
      <c r="P13" s="412"/>
      <c r="Q13" s="412"/>
      <c r="R13" s="412"/>
      <c r="S13" s="412"/>
      <c r="T13" s="412"/>
      <c r="U13" s="412"/>
      <c r="V13" s="413"/>
    </row>
    <row r="14" spans="1:22" s="414" customFormat="1">
      <c r="A14" s="347" t="s">
        <v>83</v>
      </c>
      <c r="B14" s="350" t="s">
        <v>201</v>
      </c>
      <c r="C14" s="409">
        <v>2</v>
      </c>
      <c r="D14" s="406"/>
      <c r="E14" s="406"/>
      <c r="F14" s="407"/>
      <c r="G14" s="408">
        <f t="shared" ref="G14:G28" si="2">H14/36</f>
        <v>7</v>
      </c>
      <c r="H14" s="407">
        <v>252</v>
      </c>
      <c r="I14" s="376">
        <v>144</v>
      </c>
      <c r="J14" s="409">
        <v>126</v>
      </c>
      <c r="K14" s="406">
        <f t="shared" ref="K14:K27" si="3">H14-J14</f>
        <v>126</v>
      </c>
      <c r="L14" s="406">
        <v>60</v>
      </c>
      <c r="M14" s="406"/>
      <c r="N14" s="410">
        <v>66</v>
      </c>
      <c r="O14" s="411"/>
      <c r="P14" s="412">
        <v>54</v>
      </c>
      <c r="Q14" s="412"/>
      <c r="R14" s="412"/>
      <c r="S14" s="412"/>
      <c r="T14" s="412"/>
      <c r="U14" s="412"/>
      <c r="V14" s="413"/>
    </row>
    <row r="15" spans="1:22" s="414" customFormat="1">
      <c r="A15" s="347" t="s">
        <v>84</v>
      </c>
      <c r="B15" s="350" t="s">
        <v>202</v>
      </c>
      <c r="C15" s="409">
        <v>2</v>
      </c>
      <c r="D15" s="406"/>
      <c r="E15" s="406"/>
      <c r="F15" s="407"/>
      <c r="G15" s="408">
        <f t="shared" si="2"/>
        <v>4</v>
      </c>
      <c r="H15" s="407">
        <v>144</v>
      </c>
      <c r="I15" s="376"/>
      <c r="J15" s="409">
        <v>72</v>
      </c>
      <c r="K15" s="406">
        <f t="shared" si="3"/>
        <v>72</v>
      </c>
      <c r="L15" s="406">
        <v>36</v>
      </c>
      <c r="M15" s="406"/>
      <c r="N15" s="410">
        <v>36</v>
      </c>
      <c r="O15" s="411"/>
      <c r="P15" s="412">
        <v>72</v>
      </c>
      <c r="Q15" s="412"/>
      <c r="R15" s="412"/>
      <c r="S15" s="412"/>
      <c r="T15" s="412"/>
      <c r="U15" s="412"/>
      <c r="V15" s="413"/>
    </row>
    <row r="16" spans="1:22" s="414" customFormat="1">
      <c r="A16" s="347" t="s">
        <v>85</v>
      </c>
      <c r="B16" s="350" t="s">
        <v>149</v>
      </c>
      <c r="C16" s="409">
        <v>4</v>
      </c>
      <c r="D16" s="406"/>
      <c r="E16" s="406"/>
      <c r="F16" s="407">
        <v>4</v>
      </c>
      <c r="G16" s="408">
        <f t="shared" si="2"/>
        <v>5</v>
      </c>
      <c r="H16" s="407">
        <v>180</v>
      </c>
      <c r="I16" s="376"/>
      <c r="J16" s="409">
        <v>90</v>
      </c>
      <c r="K16" s="406">
        <f t="shared" si="3"/>
        <v>90</v>
      </c>
      <c r="L16" s="406">
        <v>36</v>
      </c>
      <c r="M16" s="420">
        <v>16</v>
      </c>
      <c r="N16" s="410">
        <v>38</v>
      </c>
      <c r="O16" s="411"/>
      <c r="P16" s="412"/>
      <c r="Q16" s="412"/>
      <c r="R16" s="412">
        <v>90</v>
      </c>
      <c r="S16" s="412"/>
      <c r="T16" s="412"/>
      <c r="U16" s="412"/>
      <c r="V16" s="413"/>
    </row>
    <row r="17" spans="1:22" s="414" customFormat="1">
      <c r="A17" s="347" t="s">
        <v>86</v>
      </c>
      <c r="B17" s="324" t="s">
        <v>150</v>
      </c>
      <c r="C17" s="409">
        <v>3</v>
      </c>
      <c r="D17" s="406" t="s">
        <v>196</v>
      </c>
      <c r="E17" s="406"/>
      <c r="F17" s="407">
        <v>3</v>
      </c>
      <c r="G17" s="408">
        <f t="shared" si="2"/>
        <v>11</v>
      </c>
      <c r="H17" s="407">
        <v>396</v>
      </c>
      <c r="I17" s="376"/>
      <c r="J17" s="409">
        <v>180</v>
      </c>
      <c r="K17" s="406">
        <f t="shared" si="3"/>
        <v>216</v>
      </c>
      <c r="L17" s="406">
        <v>84</v>
      </c>
      <c r="M17" s="406">
        <v>52</v>
      </c>
      <c r="N17" s="410">
        <v>44</v>
      </c>
      <c r="O17" s="411"/>
      <c r="P17" s="412">
        <v>88</v>
      </c>
      <c r="Q17" s="412">
        <v>92</v>
      </c>
      <c r="R17" s="412"/>
      <c r="S17" s="412"/>
      <c r="T17" s="412"/>
      <c r="U17" s="412"/>
      <c r="V17" s="413"/>
    </row>
    <row r="18" spans="1:22" s="414" customFormat="1">
      <c r="A18" s="347" t="s">
        <v>87</v>
      </c>
      <c r="B18" s="350" t="s">
        <v>151</v>
      </c>
      <c r="C18" s="409">
        <v>7</v>
      </c>
      <c r="D18" s="406">
        <v>6</v>
      </c>
      <c r="E18" s="406">
        <v>7</v>
      </c>
      <c r="F18" s="407"/>
      <c r="G18" s="408">
        <f t="shared" si="2"/>
        <v>8</v>
      </c>
      <c r="H18" s="407">
        <v>288</v>
      </c>
      <c r="I18" s="376"/>
      <c r="J18" s="409">
        <v>126</v>
      </c>
      <c r="K18" s="406">
        <f t="shared" si="3"/>
        <v>162</v>
      </c>
      <c r="L18" s="406">
        <v>54</v>
      </c>
      <c r="M18" s="406">
        <v>36</v>
      </c>
      <c r="N18" s="410">
        <v>36</v>
      </c>
      <c r="O18" s="411"/>
      <c r="P18" s="412"/>
      <c r="Q18" s="412"/>
      <c r="R18" s="412"/>
      <c r="S18" s="412"/>
      <c r="T18" s="412">
        <v>72</v>
      </c>
      <c r="U18" s="412">
        <v>54</v>
      </c>
      <c r="V18" s="413"/>
    </row>
    <row r="19" spans="1:22" s="414" customFormat="1">
      <c r="A19" s="347" t="s">
        <v>88</v>
      </c>
      <c r="B19" s="349" t="s">
        <v>203</v>
      </c>
      <c r="C19" s="421"/>
      <c r="D19" s="420">
        <v>2</v>
      </c>
      <c r="E19" s="420"/>
      <c r="F19" s="422"/>
      <c r="G19" s="423">
        <f t="shared" si="2"/>
        <v>3</v>
      </c>
      <c r="H19" s="422">
        <v>108</v>
      </c>
      <c r="I19" s="376"/>
      <c r="J19" s="421">
        <v>36</v>
      </c>
      <c r="K19" s="420">
        <f>H19-J19</f>
        <v>72</v>
      </c>
      <c r="L19" s="420">
        <v>18</v>
      </c>
      <c r="M19" s="420"/>
      <c r="N19" s="424">
        <v>18</v>
      </c>
      <c r="O19" s="425"/>
      <c r="P19" s="426">
        <v>36</v>
      </c>
      <c r="Q19" s="426"/>
      <c r="R19" s="426"/>
      <c r="S19" s="426"/>
      <c r="T19" s="426"/>
      <c r="U19" s="426"/>
      <c r="V19" s="427"/>
    </row>
    <row r="20" spans="1:22" s="414" customFormat="1">
      <c r="A20" s="347" t="s">
        <v>101</v>
      </c>
      <c r="B20" s="349" t="s">
        <v>205</v>
      </c>
      <c r="C20" s="421"/>
      <c r="D20" s="420">
        <v>2</v>
      </c>
      <c r="E20" s="420"/>
      <c r="F20" s="422"/>
      <c r="G20" s="423">
        <v>2</v>
      </c>
      <c r="H20" s="422">
        <v>72</v>
      </c>
      <c r="I20" s="376"/>
      <c r="J20" s="421">
        <v>36</v>
      </c>
      <c r="K20" s="420">
        <f>H20-J20</f>
        <v>36</v>
      </c>
      <c r="L20" s="420">
        <v>18</v>
      </c>
      <c r="M20" s="420"/>
      <c r="N20" s="424">
        <v>18</v>
      </c>
      <c r="O20" s="425"/>
      <c r="P20" s="426">
        <v>36</v>
      </c>
      <c r="Q20" s="426"/>
      <c r="R20" s="426"/>
      <c r="S20" s="426"/>
      <c r="T20" s="426"/>
      <c r="U20" s="426"/>
      <c r="V20" s="427"/>
    </row>
    <row r="21" spans="1:22" s="414" customFormat="1">
      <c r="A21" s="347" t="s">
        <v>102</v>
      </c>
      <c r="B21" s="349" t="s">
        <v>152</v>
      </c>
      <c r="C21" s="421">
        <v>6</v>
      </c>
      <c r="D21" s="420">
        <v>5</v>
      </c>
      <c r="E21" s="420"/>
      <c r="F21" s="422">
        <v>6</v>
      </c>
      <c r="G21" s="423">
        <f t="shared" si="2"/>
        <v>8</v>
      </c>
      <c r="H21" s="422">
        <v>288</v>
      </c>
      <c r="I21" s="376"/>
      <c r="J21" s="421">
        <v>144</v>
      </c>
      <c r="K21" s="420">
        <f t="shared" si="3"/>
        <v>144</v>
      </c>
      <c r="L21" s="420">
        <v>68</v>
      </c>
      <c r="M21" s="420">
        <v>36</v>
      </c>
      <c r="N21" s="424">
        <v>40</v>
      </c>
      <c r="O21" s="425"/>
      <c r="P21" s="426"/>
      <c r="Q21" s="426"/>
      <c r="R21" s="426"/>
      <c r="S21" s="426">
        <v>72</v>
      </c>
      <c r="T21" s="426">
        <v>72</v>
      </c>
      <c r="U21" s="426"/>
      <c r="V21" s="427"/>
    </row>
    <row r="22" spans="1:22" s="414" customFormat="1">
      <c r="A22" s="347" t="s">
        <v>103</v>
      </c>
      <c r="B22" s="324" t="s">
        <v>61</v>
      </c>
      <c r="C22" s="409">
        <v>2</v>
      </c>
      <c r="D22" s="406"/>
      <c r="E22" s="406"/>
      <c r="F22" s="407"/>
      <c r="G22" s="408">
        <f t="shared" si="2"/>
        <v>5</v>
      </c>
      <c r="H22" s="407">
        <v>180</v>
      </c>
      <c r="I22" s="376"/>
      <c r="J22" s="409">
        <v>90</v>
      </c>
      <c r="K22" s="406">
        <f t="shared" si="3"/>
        <v>90</v>
      </c>
      <c r="L22" s="406">
        <v>38</v>
      </c>
      <c r="M22" s="406">
        <v>40</v>
      </c>
      <c r="N22" s="410">
        <v>12</v>
      </c>
      <c r="O22" s="411"/>
      <c r="P22" s="412">
        <v>90</v>
      </c>
      <c r="Q22" s="412"/>
      <c r="R22" s="412"/>
      <c r="S22" s="412"/>
      <c r="T22" s="412"/>
      <c r="U22" s="412"/>
      <c r="V22" s="413"/>
    </row>
    <row r="23" spans="1:22" s="414" customFormat="1">
      <c r="A23" s="347" t="s">
        <v>104</v>
      </c>
      <c r="B23" s="324" t="s">
        <v>207</v>
      </c>
      <c r="C23" s="409"/>
      <c r="D23" s="406"/>
      <c r="E23" s="406"/>
      <c r="F23" s="407"/>
      <c r="G23" s="408">
        <v>3</v>
      </c>
      <c r="H23" s="407">
        <v>108</v>
      </c>
      <c r="I23" s="376">
        <v>108</v>
      </c>
      <c r="J23" s="409">
        <v>54</v>
      </c>
      <c r="K23" s="406">
        <f t="shared" si="3"/>
        <v>54</v>
      </c>
      <c r="L23" s="406">
        <v>18</v>
      </c>
      <c r="M23" s="406"/>
      <c r="N23" s="410">
        <v>36</v>
      </c>
      <c r="O23" s="411"/>
      <c r="P23" s="412"/>
      <c r="Q23" s="412"/>
      <c r="R23" s="412"/>
      <c r="S23" s="412"/>
      <c r="T23" s="412"/>
      <c r="U23" s="412"/>
      <c r="V23" s="413"/>
    </row>
    <row r="24" spans="1:22" s="414" customFormat="1">
      <c r="A24" s="347" t="s">
        <v>105</v>
      </c>
      <c r="B24" s="416" t="s">
        <v>204</v>
      </c>
      <c r="C24" s="409"/>
      <c r="D24" s="406"/>
      <c r="E24" s="428"/>
      <c r="F24" s="407"/>
      <c r="G24" s="408">
        <f t="shared" si="2"/>
        <v>2</v>
      </c>
      <c r="H24" s="407">
        <v>72</v>
      </c>
      <c r="I24" s="376">
        <v>72</v>
      </c>
      <c r="J24" s="409">
        <v>30</v>
      </c>
      <c r="K24" s="406">
        <f t="shared" si="3"/>
        <v>42</v>
      </c>
      <c r="L24" s="406">
        <v>16</v>
      </c>
      <c r="M24" s="406">
        <v>4</v>
      </c>
      <c r="N24" s="410">
        <v>10</v>
      </c>
      <c r="O24" s="411"/>
      <c r="P24" s="412"/>
      <c r="Q24" s="412"/>
      <c r="R24" s="412"/>
      <c r="S24" s="412"/>
      <c r="T24" s="412"/>
      <c r="U24" s="412"/>
      <c r="V24" s="413"/>
    </row>
    <row r="25" spans="1:22">
      <c r="A25" s="300" t="s">
        <v>106</v>
      </c>
      <c r="B25" s="310" t="s">
        <v>195</v>
      </c>
      <c r="C25" s="72">
        <v>3</v>
      </c>
      <c r="D25" s="73">
        <v>2</v>
      </c>
      <c r="E25" s="73"/>
      <c r="F25" s="71"/>
      <c r="G25" s="70">
        <f t="shared" si="2"/>
        <v>7</v>
      </c>
      <c r="H25" s="71">
        <v>252</v>
      </c>
      <c r="I25" s="376"/>
      <c r="J25" s="72">
        <v>108</v>
      </c>
      <c r="K25" s="73">
        <f t="shared" si="3"/>
        <v>144</v>
      </c>
      <c r="L25" s="73">
        <v>44</v>
      </c>
      <c r="M25" s="73">
        <v>20</v>
      </c>
      <c r="N25" s="183">
        <v>44</v>
      </c>
      <c r="O25" s="74"/>
      <c r="P25" s="58">
        <v>72</v>
      </c>
      <c r="Q25" s="58">
        <v>36</v>
      </c>
      <c r="R25" s="58"/>
      <c r="S25" s="58"/>
      <c r="T25" s="58"/>
      <c r="U25" s="58"/>
      <c r="V25" s="238"/>
    </row>
    <row r="26" spans="1:22">
      <c r="A26" s="300" t="s">
        <v>107</v>
      </c>
      <c r="B26" s="314" t="s">
        <v>166</v>
      </c>
      <c r="C26" s="72">
        <v>6</v>
      </c>
      <c r="D26" s="73"/>
      <c r="E26" s="73"/>
      <c r="F26" s="71"/>
      <c r="G26" s="70">
        <v>3</v>
      </c>
      <c r="H26" s="71">
        <v>108</v>
      </c>
      <c r="I26" s="376"/>
      <c r="J26" s="72">
        <v>54</v>
      </c>
      <c r="K26" s="73">
        <f t="shared" si="3"/>
        <v>54</v>
      </c>
      <c r="L26" s="73">
        <v>28</v>
      </c>
      <c r="M26" s="73"/>
      <c r="N26" s="183">
        <v>26</v>
      </c>
      <c r="O26" s="74"/>
      <c r="P26" s="58"/>
      <c r="Q26" s="58"/>
      <c r="R26" s="58"/>
      <c r="S26" s="58"/>
      <c r="T26" s="58">
        <v>54</v>
      </c>
      <c r="U26" s="58"/>
      <c r="V26" s="238"/>
    </row>
    <row r="27" spans="1:22">
      <c r="A27" s="300" t="s">
        <v>197</v>
      </c>
      <c r="B27" s="311" t="s">
        <v>154</v>
      </c>
      <c r="C27" s="72">
        <v>3</v>
      </c>
      <c r="D27" s="73"/>
      <c r="E27" s="73"/>
      <c r="F27" s="71"/>
      <c r="G27" s="70">
        <v>4</v>
      </c>
      <c r="H27" s="71">
        <v>144</v>
      </c>
      <c r="I27" s="376"/>
      <c r="J27" s="72">
        <v>72</v>
      </c>
      <c r="K27" s="73">
        <f t="shared" si="3"/>
        <v>72</v>
      </c>
      <c r="L27" s="73">
        <v>36</v>
      </c>
      <c r="M27" s="205">
        <v>16</v>
      </c>
      <c r="N27" s="183">
        <v>20</v>
      </c>
      <c r="O27" s="74"/>
      <c r="P27" s="58"/>
      <c r="Q27" s="58">
        <v>72</v>
      </c>
      <c r="R27" s="58"/>
      <c r="S27" s="58"/>
      <c r="T27" s="58"/>
      <c r="U27" s="58"/>
      <c r="V27" s="238"/>
    </row>
    <row r="28" spans="1:22" ht="13.5" thickBot="1">
      <c r="A28" s="285" t="s">
        <v>206</v>
      </c>
      <c r="B28" s="315" t="s">
        <v>1</v>
      </c>
      <c r="C28" s="240"/>
      <c r="D28" s="241">
        <v>4</v>
      </c>
      <c r="E28" s="241"/>
      <c r="F28" s="242"/>
      <c r="G28" s="243">
        <f t="shared" si="2"/>
        <v>2</v>
      </c>
      <c r="H28" s="242">
        <v>72</v>
      </c>
      <c r="I28" s="377"/>
      <c r="J28" s="240">
        <v>70</v>
      </c>
      <c r="K28" s="241">
        <v>2</v>
      </c>
      <c r="L28" s="241">
        <v>20</v>
      </c>
      <c r="M28" s="241"/>
      <c r="N28" s="257">
        <v>50</v>
      </c>
      <c r="O28" s="240"/>
      <c r="P28" s="241">
        <v>18</v>
      </c>
      <c r="Q28" s="241">
        <v>18</v>
      </c>
      <c r="R28" s="241">
        <v>16</v>
      </c>
      <c r="S28" s="136"/>
      <c r="T28" s="136"/>
      <c r="U28" s="136"/>
      <c r="V28" s="244"/>
    </row>
    <row r="29" spans="1:22" s="16" customFormat="1" ht="25.5" customHeight="1" thickBot="1">
      <c r="A29" s="301"/>
      <c r="B29" s="316"/>
      <c r="C29" s="282"/>
      <c r="D29" s="265"/>
      <c r="E29" s="265"/>
      <c r="F29" s="266"/>
      <c r="G29" s="252"/>
      <c r="H29" s="251"/>
      <c r="I29" s="378"/>
      <c r="J29" s="249"/>
      <c r="K29" s="250"/>
      <c r="L29" s="250"/>
      <c r="M29" s="250"/>
      <c r="N29" s="268"/>
      <c r="O29" s="96"/>
      <c r="P29" s="92"/>
      <c r="Q29" s="92"/>
      <c r="R29" s="92"/>
      <c r="S29" s="92"/>
      <c r="T29" s="92"/>
      <c r="U29" s="92"/>
      <c r="V29" s="269"/>
    </row>
    <row r="30" spans="1:22" s="16" customFormat="1" ht="13.5" customHeight="1">
      <c r="A30" s="302" t="s">
        <v>67</v>
      </c>
      <c r="B30" s="317" t="s">
        <v>89</v>
      </c>
      <c r="C30" s="64"/>
      <c r="D30" s="63"/>
      <c r="E30" s="63"/>
      <c r="F30" s="189"/>
      <c r="G30" s="172">
        <f t="shared" ref="G30:N30" si="4">G31+G51</f>
        <v>121</v>
      </c>
      <c r="H30" s="173">
        <f t="shared" si="4"/>
        <v>4356</v>
      </c>
      <c r="I30" s="379"/>
      <c r="J30" s="174">
        <f t="shared" si="4"/>
        <v>1934</v>
      </c>
      <c r="K30" s="175">
        <f t="shared" si="4"/>
        <v>2422</v>
      </c>
      <c r="L30" s="175">
        <f t="shared" si="4"/>
        <v>848</v>
      </c>
      <c r="M30" s="175">
        <f t="shared" si="4"/>
        <v>320</v>
      </c>
      <c r="N30" s="331">
        <f t="shared" si="4"/>
        <v>766</v>
      </c>
      <c r="O30" s="170"/>
      <c r="P30" s="171"/>
      <c r="Q30" s="171"/>
      <c r="R30" s="171"/>
      <c r="S30" s="171"/>
      <c r="T30" s="171"/>
      <c r="U30" s="171"/>
      <c r="V30" s="283"/>
    </row>
    <row r="31" spans="1:22">
      <c r="A31" s="302" t="s">
        <v>90</v>
      </c>
      <c r="B31" s="318" t="s">
        <v>56</v>
      </c>
      <c r="C31" s="66"/>
      <c r="D31" s="65"/>
      <c r="E31" s="65"/>
      <c r="F31" s="190"/>
      <c r="G31" s="178">
        <f t="shared" ref="G31:N31" si="5">SUM(G32:G49)</f>
        <v>84</v>
      </c>
      <c r="H31" s="179">
        <f t="shared" si="5"/>
        <v>3024</v>
      </c>
      <c r="I31" s="380"/>
      <c r="J31" s="180">
        <f t="shared" si="5"/>
        <v>1328</v>
      </c>
      <c r="K31" s="181">
        <f t="shared" si="5"/>
        <v>1696</v>
      </c>
      <c r="L31" s="181">
        <f t="shared" si="5"/>
        <v>598</v>
      </c>
      <c r="M31" s="181">
        <f t="shared" si="5"/>
        <v>304</v>
      </c>
      <c r="N31" s="332">
        <f t="shared" si="5"/>
        <v>426</v>
      </c>
      <c r="O31" s="177"/>
      <c r="P31" s="115"/>
      <c r="Q31" s="115"/>
      <c r="R31" s="115"/>
      <c r="S31" s="115"/>
      <c r="T31" s="115"/>
      <c r="U31" s="115"/>
      <c r="V31" s="284"/>
    </row>
    <row r="32" spans="1:22">
      <c r="A32" s="300" t="s">
        <v>91</v>
      </c>
      <c r="B32" s="312" t="s">
        <v>155</v>
      </c>
      <c r="C32" s="72">
        <v>5</v>
      </c>
      <c r="D32" s="73">
        <v>4</v>
      </c>
      <c r="E32" s="73"/>
      <c r="F32" s="71"/>
      <c r="G32" s="70">
        <f t="shared" ref="G32:G48" si="6">H32/36</f>
        <v>5</v>
      </c>
      <c r="H32" s="71">
        <v>180</v>
      </c>
      <c r="I32" s="381"/>
      <c r="J32" s="72">
        <v>90</v>
      </c>
      <c r="K32" s="73">
        <f t="shared" ref="K32:K49" si="7">H32-J32</f>
        <v>90</v>
      </c>
      <c r="L32" s="73">
        <v>36</v>
      </c>
      <c r="M32" s="73">
        <v>36</v>
      </c>
      <c r="N32" s="183">
        <v>18</v>
      </c>
      <c r="O32" s="74"/>
      <c r="P32" s="58"/>
      <c r="Q32" s="58"/>
      <c r="R32" s="58">
        <v>38</v>
      </c>
      <c r="S32" s="58">
        <v>52</v>
      </c>
      <c r="T32" s="58"/>
      <c r="U32" s="58"/>
      <c r="V32" s="238"/>
    </row>
    <row r="33" spans="1:22">
      <c r="A33" s="300" t="s">
        <v>92</v>
      </c>
      <c r="B33" s="319" t="s">
        <v>156</v>
      </c>
      <c r="C33" s="72">
        <v>3</v>
      </c>
      <c r="D33" s="73">
        <v>2</v>
      </c>
      <c r="E33" s="73"/>
      <c r="F33" s="71"/>
      <c r="G33" s="70">
        <f t="shared" si="6"/>
        <v>6</v>
      </c>
      <c r="H33" s="71">
        <v>216</v>
      </c>
      <c r="I33" s="381"/>
      <c r="J33" s="72">
        <v>88</v>
      </c>
      <c r="K33" s="73">
        <f t="shared" si="7"/>
        <v>128</v>
      </c>
      <c r="L33" s="73">
        <v>36</v>
      </c>
      <c r="M33" s="205">
        <v>20</v>
      </c>
      <c r="N33" s="330">
        <v>32</v>
      </c>
      <c r="O33" s="76"/>
      <c r="P33" s="59">
        <v>34</v>
      </c>
      <c r="Q33" s="59">
        <v>54</v>
      </c>
      <c r="R33" s="59"/>
      <c r="S33" s="59"/>
      <c r="T33" s="59"/>
      <c r="U33" s="59"/>
      <c r="V33" s="253"/>
    </row>
    <row r="34" spans="1:22" ht="24">
      <c r="A34" s="303" t="s">
        <v>93</v>
      </c>
      <c r="B34" s="320" t="s">
        <v>157</v>
      </c>
      <c r="C34" s="245">
        <v>4</v>
      </c>
      <c r="D34" s="184">
        <v>3</v>
      </c>
      <c r="E34" s="184"/>
      <c r="F34" s="185"/>
      <c r="G34" s="187">
        <f t="shared" si="6"/>
        <v>5</v>
      </c>
      <c r="H34" s="185">
        <v>180</v>
      </c>
      <c r="I34" s="381"/>
      <c r="J34" s="245">
        <v>90</v>
      </c>
      <c r="K34" s="184">
        <f t="shared" si="7"/>
        <v>90</v>
      </c>
      <c r="L34" s="184">
        <v>36</v>
      </c>
      <c r="M34" s="246">
        <v>20</v>
      </c>
      <c r="N34" s="186">
        <v>34</v>
      </c>
      <c r="O34" s="76"/>
      <c r="P34" s="59"/>
      <c r="Q34" s="59">
        <v>26</v>
      </c>
      <c r="R34" s="59">
        <v>64</v>
      </c>
      <c r="S34" s="59"/>
      <c r="T34" s="59"/>
      <c r="U34" s="59"/>
      <c r="V34" s="253"/>
    </row>
    <row r="35" spans="1:22" ht="24.75" thickBot="1">
      <c r="A35" s="285" t="s">
        <v>94</v>
      </c>
      <c r="B35" s="321" t="s">
        <v>158</v>
      </c>
      <c r="C35" s="240">
        <v>3</v>
      </c>
      <c r="D35" s="241"/>
      <c r="E35" s="241"/>
      <c r="F35" s="242"/>
      <c r="G35" s="243">
        <v>5</v>
      </c>
      <c r="H35" s="242">
        <v>180</v>
      </c>
      <c r="I35" s="382"/>
      <c r="J35" s="240">
        <v>90</v>
      </c>
      <c r="K35" s="241">
        <f t="shared" si="7"/>
        <v>90</v>
      </c>
      <c r="L35" s="241">
        <v>36</v>
      </c>
      <c r="M35" s="286">
        <v>16</v>
      </c>
      <c r="N35" s="257">
        <v>38</v>
      </c>
      <c r="O35" s="140"/>
      <c r="P35" s="136"/>
      <c r="Q35" s="136">
        <v>90</v>
      </c>
      <c r="R35" s="136"/>
      <c r="S35" s="136"/>
      <c r="T35" s="136"/>
      <c r="U35" s="136"/>
      <c r="V35" s="244"/>
    </row>
    <row r="36" spans="1:22" ht="18" customHeight="1">
      <c r="A36" s="304" t="s">
        <v>95</v>
      </c>
      <c r="B36" s="322" t="s">
        <v>159</v>
      </c>
      <c r="C36" s="234">
        <v>7</v>
      </c>
      <c r="D36" s="235">
        <v>6</v>
      </c>
      <c r="E36" s="235"/>
      <c r="F36" s="233"/>
      <c r="G36" s="232">
        <f t="shared" si="6"/>
        <v>4</v>
      </c>
      <c r="H36" s="233">
        <v>144</v>
      </c>
      <c r="I36" s="383"/>
      <c r="J36" s="234">
        <v>72</v>
      </c>
      <c r="K36" s="235">
        <f t="shared" si="7"/>
        <v>72</v>
      </c>
      <c r="L36" s="235">
        <v>36</v>
      </c>
      <c r="M36" s="235">
        <v>20</v>
      </c>
      <c r="N36" s="333">
        <v>16</v>
      </c>
      <c r="O36" s="227"/>
      <c r="P36" s="236"/>
      <c r="Q36" s="236"/>
      <c r="R36" s="236"/>
      <c r="S36" s="236"/>
      <c r="T36" s="236">
        <v>36</v>
      </c>
      <c r="U36" s="236">
        <v>36</v>
      </c>
      <c r="V36" s="281"/>
    </row>
    <row r="37" spans="1:22">
      <c r="A37" s="300" t="s">
        <v>122</v>
      </c>
      <c r="B37" s="312" t="s">
        <v>220</v>
      </c>
      <c r="C37" s="72">
        <v>5</v>
      </c>
      <c r="D37" s="73"/>
      <c r="E37" s="73"/>
      <c r="F37" s="71"/>
      <c r="G37" s="70">
        <f t="shared" si="6"/>
        <v>4</v>
      </c>
      <c r="H37" s="71">
        <v>144</v>
      </c>
      <c r="I37" s="375"/>
      <c r="J37" s="72">
        <v>70</v>
      </c>
      <c r="K37" s="73">
        <f t="shared" si="7"/>
        <v>74</v>
      </c>
      <c r="L37" s="73">
        <v>36</v>
      </c>
      <c r="M37" s="205">
        <v>16</v>
      </c>
      <c r="N37" s="183">
        <v>18</v>
      </c>
      <c r="O37" s="74"/>
      <c r="P37" s="58"/>
      <c r="Q37" s="58"/>
      <c r="R37" s="58"/>
      <c r="S37" s="58">
        <v>70</v>
      </c>
      <c r="T37" s="58"/>
      <c r="U37" s="58"/>
      <c r="V37" s="238"/>
    </row>
    <row r="38" spans="1:22">
      <c r="A38" s="300" t="s">
        <v>123</v>
      </c>
      <c r="B38" s="312" t="s">
        <v>160</v>
      </c>
      <c r="C38" s="72">
        <v>8</v>
      </c>
      <c r="D38" s="73">
        <v>7</v>
      </c>
      <c r="E38" s="73"/>
      <c r="F38" s="71"/>
      <c r="G38" s="70">
        <f t="shared" si="6"/>
        <v>6</v>
      </c>
      <c r="H38" s="71">
        <v>216</v>
      </c>
      <c r="I38" s="376"/>
      <c r="J38" s="72">
        <v>90</v>
      </c>
      <c r="K38" s="73">
        <f t="shared" si="7"/>
        <v>126</v>
      </c>
      <c r="L38" s="73">
        <v>36</v>
      </c>
      <c r="M38" s="73">
        <v>32</v>
      </c>
      <c r="N38" s="183">
        <v>22</v>
      </c>
      <c r="O38" s="76"/>
      <c r="P38" s="59"/>
      <c r="Q38" s="59"/>
      <c r="R38" s="59"/>
      <c r="S38" s="59"/>
      <c r="T38" s="59"/>
      <c r="U38" s="59">
        <v>54</v>
      </c>
      <c r="V38" s="253">
        <v>36</v>
      </c>
    </row>
    <row r="39" spans="1:22" ht="24">
      <c r="A39" s="305" t="s">
        <v>124</v>
      </c>
      <c r="B39" s="313" t="s">
        <v>161</v>
      </c>
      <c r="C39" s="204">
        <v>5</v>
      </c>
      <c r="D39" s="205">
        <v>4</v>
      </c>
      <c r="E39" s="205"/>
      <c r="F39" s="206">
        <v>5</v>
      </c>
      <c r="G39" s="207">
        <f t="shared" si="6"/>
        <v>8</v>
      </c>
      <c r="H39" s="206">
        <v>288</v>
      </c>
      <c r="I39" s="376"/>
      <c r="J39" s="204">
        <v>128</v>
      </c>
      <c r="K39" s="205">
        <f t="shared" si="7"/>
        <v>160</v>
      </c>
      <c r="L39" s="205">
        <v>50</v>
      </c>
      <c r="M39" s="205">
        <v>32</v>
      </c>
      <c r="N39" s="330">
        <v>46</v>
      </c>
      <c r="O39" s="208"/>
      <c r="P39" s="209"/>
      <c r="Q39" s="209"/>
      <c r="R39" s="209">
        <v>74</v>
      </c>
      <c r="S39" s="209">
        <v>54</v>
      </c>
      <c r="T39" s="209"/>
      <c r="U39" s="209"/>
      <c r="V39" s="239"/>
    </row>
    <row r="40" spans="1:22">
      <c r="A40" s="300" t="s">
        <v>125</v>
      </c>
      <c r="B40" s="312" t="s">
        <v>162</v>
      </c>
      <c r="C40" s="72">
        <v>8</v>
      </c>
      <c r="D40" s="73">
        <v>7</v>
      </c>
      <c r="E40" s="73"/>
      <c r="F40" s="71">
        <v>8</v>
      </c>
      <c r="G40" s="70">
        <f t="shared" si="6"/>
        <v>5</v>
      </c>
      <c r="H40" s="71">
        <v>180</v>
      </c>
      <c r="I40" s="376"/>
      <c r="J40" s="72">
        <v>72</v>
      </c>
      <c r="K40" s="73">
        <f t="shared" si="7"/>
        <v>108</v>
      </c>
      <c r="L40" s="73">
        <v>36</v>
      </c>
      <c r="M40" s="205">
        <v>16</v>
      </c>
      <c r="N40" s="183">
        <v>20</v>
      </c>
      <c r="O40" s="74"/>
      <c r="P40" s="58"/>
      <c r="Q40" s="58"/>
      <c r="R40" s="58"/>
      <c r="S40" s="58"/>
      <c r="T40" s="58"/>
      <c r="U40" s="58">
        <v>36</v>
      </c>
      <c r="V40" s="238">
        <v>36</v>
      </c>
    </row>
    <row r="41" spans="1:22">
      <c r="A41" s="300" t="s">
        <v>126</v>
      </c>
      <c r="B41" s="311" t="s">
        <v>163</v>
      </c>
      <c r="C41" s="72">
        <v>2</v>
      </c>
      <c r="D41" s="73"/>
      <c r="E41" s="73"/>
      <c r="F41" s="71"/>
      <c r="G41" s="70">
        <v>5</v>
      </c>
      <c r="H41" s="71">
        <v>180</v>
      </c>
      <c r="I41" s="376"/>
      <c r="J41" s="72">
        <v>72</v>
      </c>
      <c r="K41" s="73">
        <f t="shared" si="7"/>
        <v>108</v>
      </c>
      <c r="L41" s="73">
        <v>32</v>
      </c>
      <c r="M41" s="73">
        <v>8</v>
      </c>
      <c r="N41" s="183">
        <v>32</v>
      </c>
      <c r="O41" s="74"/>
      <c r="P41" s="58">
        <v>72</v>
      </c>
      <c r="Q41" s="58"/>
      <c r="R41" s="11"/>
      <c r="S41" s="58"/>
      <c r="T41" s="58"/>
      <c r="U41" s="58"/>
      <c r="V41" s="238"/>
    </row>
    <row r="42" spans="1:22">
      <c r="A42" s="300" t="s">
        <v>127</v>
      </c>
      <c r="B42" s="312" t="s">
        <v>208</v>
      </c>
      <c r="C42" s="72">
        <v>2</v>
      </c>
      <c r="D42" s="73"/>
      <c r="E42" s="73"/>
      <c r="F42" s="71"/>
      <c r="G42" s="70">
        <v>4</v>
      </c>
      <c r="H42" s="71">
        <v>144</v>
      </c>
      <c r="I42" s="376"/>
      <c r="J42" s="72">
        <v>64</v>
      </c>
      <c r="K42" s="73">
        <f t="shared" si="7"/>
        <v>80</v>
      </c>
      <c r="L42" s="73">
        <v>32</v>
      </c>
      <c r="M42" s="73">
        <v>8</v>
      </c>
      <c r="N42" s="183">
        <v>24</v>
      </c>
      <c r="O42" s="74"/>
      <c r="P42" s="58">
        <v>64</v>
      </c>
      <c r="Q42" s="58"/>
      <c r="R42" s="58"/>
      <c r="S42" s="58"/>
      <c r="T42" s="58"/>
      <c r="U42" s="58"/>
      <c r="V42" s="238"/>
    </row>
    <row r="43" spans="1:22" ht="25.5" customHeight="1">
      <c r="A43" s="300" t="s">
        <v>128</v>
      </c>
      <c r="B43" s="312" t="s">
        <v>164</v>
      </c>
      <c r="C43" s="72">
        <v>4</v>
      </c>
      <c r="D43" s="73"/>
      <c r="E43" s="73"/>
      <c r="F43" s="71"/>
      <c r="G43" s="70">
        <v>4</v>
      </c>
      <c r="H43" s="71">
        <v>144</v>
      </c>
      <c r="I43" s="376"/>
      <c r="J43" s="72">
        <v>60</v>
      </c>
      <c r="K43" s="73">
        <f t="shared" si="7"/>
        <v>84</v>
      </c>
      <c r="L43" s="73">
        <v>26</v>
      </c>
      <c r="M43" s="73">
        <v>8</v>
      </c>
      <c r="N43" s="183">
        <v>26</v>
      </c>
      <c r="O43" s="74"/>
      <c r="P43" s="58"/>
      <c r="Q43" s="58"/>
      <c r="R43" s="58">
        <v>60</v>
      </c>
      <c r="S43" s="58"/>
      <c r="T43" s="58"/>
      <c r="U43" s="58"/>
      <c r="V43" s="238"/>
    </row>
    <row r="44" spans="1:22">
      <c r="A44" s="300" t="s">
        <v>129</v>
      </c>
      <c r="B44" s="312" t="s">
        <v>165</v>
      </c>
      <c r="C44" s="72">
        <v>8</v>
      </c>
      <c r="D44" s="73"/>
      <c r="E44" s="73"/>
      <c r="F44" s="71"/>
      <c r="G44" s="70">
        <f t="shared" si="6"/>
        <v>4</v>
      </c>
      <c r="H44" s="71">
        <v>144</v>
      </c>
      <c r="I44" s="376"/>
      <c r="J44" s="72">
        <v>54</v>
      </c>
      <c r="K44" s="73">
        <f t="shared" si="7"/>
        <v>90</v>
      </c>
      <c r="L44" s="73">
        <v>20</v>
      </c>
      <c r="M44" s="73">
        <v>8</v>
      </c>
      <c r="N44" s="183">
        <v>26</v>
      </c>
      <c r="O44" s="74"/>
      <c r="P44" s="58"/>
      <c r="Q44" s="58"/>
      <c r="R44" s="58"/>
      <c r="S44" s="58"/>
      <c r="T44" s="58"/>
      <c r="U44" s="58"/>
      <c r="V44" s="238">
        <v>54</v>
      </c>
    </row>
    <row r="45" spans="1:22">
      <c r="A45" s="300" t="s">
        <v>130</v>
      </c>
      <c r="B45" s="314" t="s">
        <v>153</v>
      </c>
      <c r="C45" s="72"/>
      <c r="D45" s="73" t="s">
        <v>174</v>
      </c>
      <c r="E45" s="73"/>
      <c r="F45" s="71"/>
      <c r="G45" s="70">
        <f t="shared" si="6"/>
        <v>4</v>
      </c>
      <c r="H45" s="71">
        <v>144</v>
      </c>
      <c r="I45" s="376"/>
      <c r="J45" s="72">
        <v>70</v>
      </c>
      <c r="K45" s="73">
        <f t="shared" si="7"/>
        <v>74</v>
      </c>
      <c r="L45" s="73">
        <v>34</v>
      </c>
      <c r="M45" s="73">
        <v>36</v>
      </c>
      <c r="N45" s="183"/>
      <c r="O45" s="74"/>
      <c r="P45" s="58"/>
      <c r="Q45" s="58"/>
      <c r="R45" s="58"/>
      <c r="S45" s="58">
        <v>70</v>
      </c>
      <c r="T45" s="58"/>
      <c r="U45" s="58"/>
      <c r="V45" s="238"/>
    </row>
    <row r="46" spans="1:22" ht="15" customHeight="1">
      <c r="A46" s="347" t="s">
        <v>131</v>
      </c>
      <c r="B46" s="348" t="s">
        <v>58</v>
      </c>
      <c r="C46" s="72"/>
      <c r="D46" s="73">
        <v>2</v>
      </c>
      <c r="E46" s="73"/>
      <c r="F46" s="71"/>
      <c r="G46" s="70">
        <f t="shared" si="6"/>
        <v>3</v>
      </c>
      <c r="H46" s="71">
        <v>108</v>
      </c>
      <c r="I46" s="376"/>
      <c r="J46" s="72">
        <v>36</v>
      </c>
      <c r="K46" s="73">
        <f t="shared" si="7"/>
        <v>72</v>
      </c>
      <c r="L46" s="73">
        <v>18</v>
      </c>
      <c r="M46" s="73"/>
      <c r="N46" s="183">
        <v>18</v>
      </c>
      <c r="O46" s="76"/>
      <c r="P46" s="59">
        <v>36</v>
      </c>
      <c r="Q46" s="59"/>
      <c r="R46" s="59"/>
      <c r="S46" s="59"/>
      <c r="T46" s="59"/>
      <c r="U46" s="59"/>
      <c r="V46" s="253"/>
    </row>
    <row r="47" spans="1:22">
      <c r="A47" s="347" t="s">
        <v>142</v>
      </c>
      <c r="B47" s="349" t="s">
        <v>209</v>
      </c>
      <c r="C47" s="72">
        <v>7</v>
      </c>
      <c r="D47" s="73"/>
      <c r="E47" s="73"/>
      <c r="F47" s="71"/>
      <c r="G47" s="70">
        <f t="shared" si="6"/>
        <v>6</v>
      </c>
      <c r="H47" s="71">
        <v>216</v>
      </c>
      <c r="I47" s="376"/>
      <c r="J47" s="72">
        <v>90</v>
      </c>
      <c r="K47" s="73">
        <f t="shared" si="7"/>
        <v>126</v>
      </c>
      <c r="L47" s="73">
        <v>48</v>
      </c>
      <c r="M47" s="73">
        <v>16</v>
      </c>
      <c r="N47" s="183">
        <v>26</v>
      </c>
      <c r="O47" s="74"/>
      <c r="P47" s="58"/>
      <c r="Q47" s="58"/>
      <c r="R47" s="58"/>
      <c r="S47" s="58"/>
      <c r="T47" s="58"/>
      <c r="U47" s="209">
        <v>90</v>
      </c>
      <c r="V47" s="238"/>
    </row>
    <row r="48" spans="1:22">
      <c r="A48" s="347" t="s">
        <v>143</v>
      </c>
      <c r="B48" s="325" t="s">
        <v>168</v>
      </c>
      <c r="C48" s="196"/>
      <c r="D48" s="197">
        <v>6</v>
      </c>
      <c r="E48" s="198"/>
      <c r="F48" s="200"/>
      <c r="G48" s="70">
        <f t="shared" si="6"/>
        <v>3</v>
      </c>
      <c r="H48" s="71">
        <v>108</v>
      </c>
      <c r="I48" s="376"/>
      <c r="J48" s="72">
        <v>48</v>
      </c>
      <c r="K48" s="73">
        <f t="shared" si="7"/>
        <v>60</v>
      </c>
      <c r="L48" s="73">
        <v>26</v>
      </c>
      <c r="M48" s="205">
        <v>12</v>
      </c>
      <c r="N48" s="183">
        <v>10</v>
      </c>
      <c r="O48" s="76"/>
      <c r="P48" s="58"/>
      <c r="Q48" s="59"/>
      <c r="R48" s="59"/>
      <c r="S48" s="59"/>
      <c r="T48" s="59">
        <v>48</v>
      </c>
      <c r="U48" s="59"/>
      <c r="V48" s="253"/>
    </row>
    <row r="49" spans="1:22">
      <c r="A49" s="347" t="s">
        <v>144</v>
      </c>
      <c r="B49" s="350" t="s">
        <v>169</v>
      </c>
      <c r="C49" s="72"/>
      <c r="D49" s="73">
        <v>3</v>
      </c>
      <c r="E49" s="73"/>
      <c r="F49" s="71"/>
      <c r="G49" s="70">
        <v>3</v>
      </c>
      <c r="H49" s="71">
        <v>108</v>
      </c>
      <c r="I49" s="376"/>
      <c r="J49" s="72">
        <v>44</v>
      </c>
      <c r="K49" s="73">
        <f t="shared" si="7"/>
        <v>64</v>
      </c>
      <c r="L49" s="73">
        <v>24</v>
      </c>
      <c r="M49" s="73"/>
      <c r="N49" s="183">
        <v>20</v>
      </c>
      <c r="O49" s="76"/>
      <c r="P49" s="62"/>
      <c r="Q49" s="59">
        <v>44</v>
      </c>
      <c r="R49" s="59"/>
      <c r="S49" s="59"/>
      <c r="T49" s="59"/>
      <c r="U49" s="59"/>
      <c r="V49" s="253"/>
    </row>
    <row r="50" spans="1:22" ht="13.5" customHeight="1">
      <c r="A50" s="347"/>
      <c r="B50" s="324"/>
      <c r="C50" s="49"/>
      <c r="D50" s="48"/>
      <c r="E50" s="48"/>
      <c r="F50" s="50"/>
      <c r="G50" s="70"/>
      <c r="H50" s="71"/>
      <c r="I50" s="376"/>
      <c r="J50" s="72"/>
      <c r="K50" s="73"/>
      <c r="L50" s="73"/>
      <c r="M50" s="73"/>
      <c r="N50" s="183"/>
      <c r="O50" s="74"/>
      <c r="P50" s="58"/>
      <c r="Q50" s="58"/>
      <c r="R50" s="58"/>
      <c r="S50" s="58"/>
      <c r="T50" s="58"/>
      <c r="U50" s="58"/>
      <c r="V50" s="238"/>
    </row>
    <row r="51" spans="1:22" ht="16.5" customHeight="1">
      <c r="A51" s="351" t="s">
        <v>68</v>
      </c>
      <c r="B51" s="352" t="s">
        <v>49</v>
      </c>
      <c r="C51" s="51"/>
      <c r="D51" s="52"/>
      <c r="E51" s="52"/>
      <c r="F51" s="191"/>
      <c r="G51" s="85">
        <f>G52+G54+G56+G58+G60+G62+G64+G66+G68+G70+G72</f>
        <v>37</v>
      </c>
      <c r="H51" s="86">
        <f t="shared" ref="H51:N51" si="8">SUM(H52:H72)</f>
        <v>1332</v>
      </c>
      <c r="I51" s="384"/>
      <c r="J51" s="87">
        <f t="shared" si="8"/>
        <v>606</v>
      </c>
      <c r="K51" s="88">
        <f t="shared" si="8"/>
        <v>726</v>
      </c>
      <c r="L51" s="88">
        <f t="shared" si="8"/>
        <v>250</v>
      </c>
      <c r="M51" s="88">
        <f t="shared" si="8"/>
        <v>16</v>
      </c>
      <c r="N51" s="334">
        <f t="shared" si="8"/>
        <v>340</v>
      </c>
      <c r="O51" s="74"/>
      <c r="P51" s="58"/>
      <c r="Q51" s="58"/>
      <c r="R51" s="58"/>
      <c r="S51" s="58"/>
      <c r="T51" s="58"/>
      <c r="U51" s="58"/>
      <c r="V51" s="238"/>
    </row>
    <row r="52" spans="1:22">
      <c r="A52" s="347" t="s">
        <v>96</v>
      </c>
      <c r="B52" s="353" t="s">
        <v>170</v>
      </c>
      <c r="C52" s="72">
        <v>5</v>
      </c>
      <c r="D52" s="48"/>
      <c r="E52" s="48"/>
      <c r="F52" s="50"/>
      <c r="G52" s="70">
        <f>H52/36</f>
        <v>5</v>
      </c>
      <c r="H52" s="71">
        <v>180</v>
      </c>
      <c r="I52" s="376"/>
      <c r="J52" s="72">
        <v>78</v>
      </c>
      <c r="K52" s="73">
        <f>H52-J52</f>
        <v>102</v>
      </c>
      <c r="L52" s="73">
        <v>32</v>
      </c>
      <c r="M52" s="205">
        <v>16</v>
      </c>
      <c r="N52" s="183">
        <v>30</v>
      </c>
      <c r="O52" s="74"/>
      <c r="P52" s="58"/>
      <c r="Q52" s="58"/>
      <c r="R52" s="58"/>
      <c r="S52" s="58">
        <v>78</v>
      </c>
      <c r="T52" s="58"/>
      <c r="U52" s="58"/>
      <c r="V52" s="238"/>
    </row>
    <row r="53" spans="1:22">
      <c r="A53" s="347" t="s">
        <v>97</v>
      </c>
      <c r="B53" s="324" t="s">
        <v>171</v>
      </c>
      <c r="C53" s="72" t="s">
        <v>57</v>
      </c>
      <c r="D53" s="48"/>
      <c r="E53" s="48"/>
      <c r="F53" s="50"/>
      <c r="G53" s="70" t="s">
        <v>57</v>
      </c>
      <c r="H53" s="71" t="s">
        <v>57</v>
      </c>
      <c r="I53" s="376"/>
      <c r="J53" s="72" t="s">
        <v>57</v>
      </c>
      <c r="K53" s="73" t="s">
        <v>57</v>
      </c>
      <c r="L53" s="73" t="s">
        <v>57</v>
      </c>
      <c r="M53" s="73" t="s">
        <v>57</v>
      </c>
      <c r="N53" s="183" t="s">
        <v>57</v>
      </c>
      <c r="O53" s="74"/>
      <c r="P53" s="58"/>
      <c r="Q53" s="58"/>
      <c r="R53" s="58"/>
      <c r="S53" s="58" t="s">
        <v>57</v>
      </c>
      <c r="T53" s="58"/>
      <c r="U53" s="58"/>
      <c r="V53" s="238"/>
    </row>
    <row r="54" spans="1:22">
      <c r="A54" s="347" t="s">
        <v>98</v>
      </c>
      <c r="B54" s="350" t="s">
        <v>173</v>
      </c>
      <c r="C54" s="72">
        <v>6</v>
      </c>
      <c r="D54" s="48"/>
      <c r="E54" s="48"/>
      <c r="F54" s="50"/>
      <c r="G54" s="70">
        <f>H54/36</f>
        <v>5</v>
      </c>
      <c r="H54" s="71">
        <v>180</v>
      </c>
      <c r="I54" s="376"/>
      <c r="J54" s="72">
        <v>80</v>
      </c>
      <c r="K54" s="73">
        <v>100</v>
      </c>
      <c r="L54" s="73">
        <v>38</v>
      </c>
      <c r="M54" s="73"/>
      <c r="N54" s="183">
        <v>42</v>
      </c>
      <c r="O54" s="76"/>
      <c r="P54" s="59"/>
      <c r="Q54" s="59"/>
      <c r="R54" s="59"/>
      <c r="S54" s="59"/>
      <c r="T54" s="59">
        <v>80</v>
      </c>
      <c r="U54" s="59"/>
      <c r="V54" s="253"/>
    </row>
    <row r="55" spans="1:22" ht="15.75" customHeight="1">
      <c r="A55" s="347" t="s">
        <v>99</v>
      </c>
      <c r="B55" s="324" t="s">
        <v>172</v>
      </c>
      <c r="C55" s="72" t="s">
        <v>57</v>
      </c>
      <c r="D55" s="48"/>
      <c r="E55" s="48"/>
      <c r="F55" s="50"/>
      <c r="G55" s="182" t="s">
        <v>57</v>
      </c>
      <c r="H55" s="71" t="s">
        <v>57</v>
      </c>
      <c r="I55" s="376"/>
      <c r="J55" s="72" t="s">
        <v>57</v>
      </c>
      <c r="K55" s="73" t="s">
        <v>57</v>
      </c>
      <c r="L55" s="73" t="s">
        <v>57</v>
      </c>
      <c r="M55" s="73"/>
      <c r="N55" s="183" t="s">
        <v>57</v>
      </c>
      <c r="O55" s="76"/>
      <c r="P55" s="59"/>
      <c r="Q55" s="59"/>
      <c r="R55" s="59"/>
      <c r="S55" s="59"/>
      <c r="T55" s="59" t="s">
        <v>57</v>
      </c>
      <c r="U55" s="59"/>
      <c r="V55" s="253"/>
    </row>
    <row r="56" spans="1:22" ht="24.75" thickBot="1">
      <c r="A56" s="354" t="s">
        <v>108</v>
      </c>
      <c r="B56" s="355" t="s">
        <v>179</v>
      </c>
      <c r="C56" s="240">
        <v>4</v>
      </c>
      <c r="D56" s="254"/>
      <c r="E56" s="254"/>
      <c r="F56" s="255"/>
      <c r="G56" s="256">
        <f>H56/36</f>
        <v>4</v>
      </c>
      <c r="H56" s="242">
        <v>144</v>
      </c>
      <c r="I56" s="385"/>
      <c r="J56" s="240">
        <v>54</v>
      </c>
      <c r="K56" s="241">
        <f>H56-J56</f>
        <v>90</v>
      </c>
      <c r="L56" s="241">
        <v>20</v>
      </c>
      <c r="M56" s="241"/>
      <c r="N56" s="257">
        <v>34</v>
      </c>
      <c r="O56" s="258"/>
      <c r="P56" s="139"/>
      <c r="Q56" s="136"/>
      <c r="R56" s="139">
        <v>54</v>
      </c>
      <c r="S56" s="136"/>
      <c r="T56" s="136"/>
      <c r="U56" s="136"/>
      <c r="V56" s="244"/>
    </row>
    <row r="57" spans="1:22">
      <c r="A57" s="356" t="s">
        <v>109</v>
      </c>
      <c r="B57" s="357" t="s">
        <v>180</v>
      </c>
      <c r="C57" s="249" t="s">
        <v>57</v>
      </c>
      <c r="D57" s="265"/>
      <c r="E57" s="265"/>
      <c r="F57" s="266"/>
      <c r="G57" s="267" t="s">
        <v>57</v>
      </c>
      <c r="H57" s="251" t="s">
        <v>57</v>
      </c>
      <c r="I57" s="379"/>
      <c r="J57" s="252" t="s">
        <v>57</v>
      </c>
      <c r="K57" s="250" t="s">
        <v>57</v>
      </c>
      <c r="L57" s="250" t="s">
        <v>57</v>
      </c>
      <c r="M57" s="250"/>
      <c r="N57" s="268" t="s">
        <v>57</v>
      </c>
      <c r="O57" s="96"/>
      <c r="P57" s="92"/>
      <c r="Q57" s="92"/>
      <c r="R57" s="95" t="s">
        <v>57</v>
      </c>
      <c r="S57" s="92"/>
      <c r="T57" s="92"/>
      <c r="U57" s="92"/>
      <c r="V57" s="269"/>
    </row>
    <row r="58" spans="1:22" ht="24">
      <c r="A58" s="358" t="s">
        <v>110</v>
      </c>
      <c r="B58" s="359" t="s">
        <v>181</v>
      </c>
      <c r="C58" s="84"/>
      <c r="D58" s="184">
        <v>7</v>
      </c>
      <c r="E58" s="67"/>
      <c r="F58" s="68"/>
      <c r="G58" s="182">
        <f>H58/36</f>
        <v>3</v>
      </c>
      <c r="H58" s="185">
        <v>108</v>
      </c>
      <c r="I58" s="386"/>
      <c r="J58" s="70">
        <v>54</v>
      </c>
      <c r="K58" s="73">
        <f>H58-J58</f>
        <v>54</v>
      </c>
      <c r="L58" s="184">
        <v>20</v>
      </c>
      <c r="M58" s="184"/>
      <c r="N58" s="186">
        <v>34</v>
      </c>
      <c r="O58" s="76"/>
      <c r="P58" s="59"/>
      <c r="Q58" s="59"/>
      <c r="R58" s="59"/>
      <c r="S58" s="59"/>
      <c r="T58" s="59"/>
      <c r="U58" s="59">
        <v>54</v>
      </c>
      <c r="V58" s="253"/>
    </row>
    <row r="59" spans="1:22">
      <c r="A59" s="347" t="s">
        <v>111</v>
      </c>
      <c r="B59" s="324" t="s">
        <v>182</v>
      </c>
      <c r="C59" s="49"/>
      <c r="D59" s="73" t="s">
        <v>57</v>
      </c>
      <c r="E59" s="48"/>
      <c r="F59" s="50"/>
      <c r="G59" s="182" t="s">
        <v>57</v>
      </c>
      <c r="H59" s="71" t="s">
        <v>57</v>
      </c>
      <c r="I59" s="381"/>
      <c r="J59" s="70" t="s">
        <v>57</v>
      </c>
      <c r="K59" s="73" t="s">
        <v>57</v>
      </c>
      <c r="L59" s="73" t="s">
        <v>57</v>
      </c>
      <c r="M59" s="73"/>
      <c r="N59" s="183" t="s">
        <v>57</v>
      </c>
      <c r="O59" s="76"/>
      <c r="P59" s="59"/>
      <c r="Q59" s="59"/>
      <c r="R59" s="59"/>
      <c r="S59" s="59"/>
      <c r="T59" s="59"/>
      <c r="U59" s="59" t="s">
        <v>57</v>
      </c>
      <c r="V59" s="253"/>
    </row>
    <row r="60" spans="1:22">
      <c r="A60" s="358" t="s">
        <v>112</v>
      </c>
      <c r="B60" s="324" t="s">
        <v>183</v>
      </c>
      <c r="C60" s="72">
        <v>7</v>
      </c>
      <c r="D60" s="73"/>
      <c r="E60" s="48"/>
      <c r="F60" s="50"/>
      <c r="G60" s="182">
        <f>H60/36</f>
        <v>3</v>
      </c>
      <c r="H60" s="71">
        <v>108</v>
      </c>
      <c r="I60" s="381"/>
      <c r="J60" s="70">
        <v>54</v>
      </c>
      <c r="K60" s="73">
        <f>H60-J60</f>
        <v>54</v>
      </c>
      <c r="L60" s="73">
        <v>20</v>
      </c>
      <c r="M60" s="73"/>
      <c r="N60" s="183">
        <v>34</v>
      </c>
      <c r="O60" s="74"/>
      <c r="P60" s="58"/>
      <c r="Q60" s="58"/>
      <c r="R60" s="58"/>
      <c r="S60" s="58"/>
      <c r="T60" s="58"/>
      <c r="U60" s="58">
        <v>54</v>
      </c>
      <c r="V60" s="238"/>
    </row>
    <row r="61" spans="1:22">
      <c r="A61" s="360" t="s">
        <v>113</v>
      </c>
      <c r="B61" s="325" t="s">
        <v>184</v>
      </c>
      <c r="C61" s="245" t="s">
        <v>57</v>
      </c>
      <c r="D61" s="184"/>
      <c r="E61" s="67"/>
      <c r="F61" s="68"/>
      <c r="G61" s="188" t="s">
        <v>57</v>
      </c>
      <c r="H61" s="185" t="s">
        <v>57</v>
      </c>
      <c r="I61" s="381"/>
      <c r="J61" s="187" t="s">
        <v>57</v>
      </c>
      <c r="K61" s="184" t="s">
        <v>57</v>
      </c>
      <c r="L61" s="184" t="s">
        <v>57</v>
      </c>
      <c r="M61" s="184"/>
      <c r="N61" s="186" t="s">
        <v>57</v>
      </c>
      <c r="O61" s="76"/>
      <c r="P61" s="59"/>
      <c r="Q61" s="59"/>
      <c r="R61" s="59"/>
      <c r="S61" s="59"/>
      <c r="T61" s="59"/>
      <c r="U61" s="59" t="s">
        <v>57</v>
      </c>
      <c r="V61" s="253"/>
    </row>
    <row r="62" spans="1:22">
      <c r="A62" s="360" t="s">
        <v>243</v>
      </c>
      <c r="B62" s="349" t="s">
        <v>167</v>
      </c>
      <c r="C62" s="72"/>
      <c r="D62" s="73">
        <v>5</v>
      </c>
      <c r="E62" s="73"/>
      <c r="F62" s="71"/>
      <c r="G62" s="70">
        <v>2</v>
      </c>
      <c r="H62" s="71">
        <v>72</v>
      </c>
      <c r="I62" s="381"/>
      <c r="J62" s="72">
        <v>36</v>
      </c>
      <c r="K62" s="73">
        <f t="shared" ref="K62" si="9">H62-J62</f>
        <v>36</v>
      </c>
      <c r="L62" s="73">
        <v>18</v>
      </c>
      <c r="M62" s="73"/>
      <c r="N62" s="183">
        <v>18</v>
      </c>
      <c r="O62" s="76"/>
      <c r="P62" s="59"/>
      <c r="Q62" s="59"/>
      <c r="R62" s="59"/>
      <c r="S62" s="59">
        <v>36</v>
      </c>
      <c r="T62" s="59"/>
      <c r="U62" s="59"/>
      <c r="V62" s="253"/>
    </row>
    <row r="63" spans="1:22">
      <c r="A63" s="347" t="s">
        <v>244</v>
      </c>
      <c r="B63" s="361" t="s">
        <v>247</v>
      </c>
      <c r="C63" s="72"/>
      <c r="D63" s="73" t="s">
        <v>57</v>
      </c>
      <c r="E63" s="48"/>
      <c r="F63" s="50"/>
      <c r="G63" s="70" t="s">
        <v>57</v>
      </c>
      <c r="H63" s="73" t="s">
        <v>57</v>
      </c>
      <c r="I63" s="381"/>
      <c r="J63" s="73" t="s">
        <v>57</v>
      </c>
      <c r="K63" s="73" t="s">
        <v>57</v>
      </c>
      <c r="L63" s="73" t="s">
        <v>57</v>
      </c>
      <c r="M63" s="73"/>
      <c r="N63" s="183" t="s">
        <v>57</v>
      </c>
      <c r="O63" s="74"/>
      <c r="P63" s="58"/>
      <c r="Q63" s="58"/>
      <c r="R63" s="58"/>
      <c r="S63" s="58" t="s">
        <v>57</v>
      </c>
      <c r="T63" s="58"/>
      <c r="U63" s="58"/>
      <c r="V63" s="238"/>
    </row>
    <row r="64" spans="1:22" ht="24">
      <c r="A64" s="362" t="s">
        <v>114</v>
      </c>
      <c r="B64" s="363" t="s">
        <v>185</v>
      </c>
      <c r="C64" s="259"/>
      <c r="D64" s="260">
        <v>8</v>
      </c>
      <c r="E64" s="261"/>
      <c r="F64" s="262"/>
      <c r="G64" s="247">
        <f>H64/36</f>
        <v>3</v>
      </c>
      <c r="H64" s="263">
        <v>108</v>
      </c>
      <c r="I64" s="381"/>
      <c r="J64" s="232">
        <v>42</v>
      </c>
      <c r="K64" s="235">
        <f>H64-J64</f>
        <v>66</v>
      </c>
      <c r="L64" s="260">
        <v>18</v>
      </c>
      <c r="M64" s="260"/>
      <c r="N64" s="264">
        <v>24</v>
      </c>
      <c r="O64" s="130"/>
      <c r="P64" s="100"/>
      <c r="Q64" s="100"/>
      <c r="R64" s="100"/>
      <c r="S64" s="100"/>
      <c r="T64" s="100"/>
      <c r="U64" s="100"/>
      <c r="V64" s="335">
        <v>42</v>
      </c>
    </row>
    <row r="65" spans="1:22">
      <c r="A65" s="306" t="s">
        <v>115</v>
      </c>
      <c r="B65" s="323" t="s">
        <v>186</v>
      </c>
      <c r="C65" s="49"/>
      <c r="D65" s="73" t="s">
        <v>57</v>
      </c>
      <c r="E65" s="48"/>
      <c r="F65" s="50"/>
      <c r="G65" s="182" t="s">
        <v>57</v>
      </c>
      <c r="H65" s="71" t="s">
        <v>57</v>
      </c>
      <c r="I65" s="381"/>
      <c r="J65" s="70" t="s">
        <v>57</v>
      </c>
      <c r="K65" s="73" t="s">
        <v>57</v>
      </c>
      <c r="L65" s="73" t="s">
        <v>57</v>
      </c>
      <c r="M65" s="73"/>
      <c r="N65" s="183" t="s">
        <v>57</v>
      </c>
      <c r="O65" s="74"/>
      <c r="P65" s="58"/>
      <c r="Q65" s="58"/>
      <c r="R65" s="58"/>
      <c r="S65" s="58"/>
      <c r="T65" s="58"/>
      <c r="U65" s="58"/>
      <c r="V65" s="238" t="s">
        <v>57</v>
      </c>
    </row>
    <row r="66" spans="1:22">
      <c r="A66" s="306" t="s">
        <v>116</v>
      </c>
      <c r="B66" s="326" t="s">
        <v>187</v>
      </c>
      <c r="C66" s="192"/>
      <c r="D66" s="184">
        <v>7</v>
      </c>
      <c r="E66" s="193"/>
      <c r="F66" s="50"/>
      <c r="G66" s="182">
        <f>H66/36</f>
        <v>3</v>
      </c>
      <c r="H66" s="71">
        <v>108</v>
      </c>
      <c r="I66" s="381"/>
      <c r="J66" s="70">
        <v>54</v>
      </c>
      <c r="K66" s="73">
        <f>H66-J66</f>
        <v>54</v>
      </c>
      <c r="L66" s="73">
        <v>20</v>
      </c>
      <c r="M66" s="73"/>
      <c r="N66" s="183">
        <v>34</v>
      </c>
      <c r="O66" s="74"/>
      <c r="P66" s="58"/>
      <c r="Q66" s="58"/>
      <c r="R66" s="58"/>
      <c r="S66" s="58"/>
      <c r="T66" s="58"/>
      <c r="U66" s="58">
        <v>54</v>
      </c>
      <c r="V66" s="238"/>
    </row>
    <row r="67" spans="1:22" ht="14.25" customHeight="1">
      <c r="A67" s="306" t="s">
        <v>117</v>
      </c>
      <c r="B67" s="312" t="s">
        <v>188</v>
      </c>
      <c r="C67" s="169"/>
      <c r="D67" s="73" t="s">
        <v>57</v>
      </c>
      <c r="E67" s="48"/>
      <c r="F67" s="50"/>
      <c r="G67" s="182" t="s">
        <v>57</v>
      </c>
      <c r="H67" s="71" t="s">
        <v>57</v>
      </c>
      <c r="I67" s="381"/>
      <c r="J67" s="70" t="s">
        <v>57</v>
      </c>
      <c r="K67" s="73" t="s">
        <v>57</v>
      </c>
      <c r="L67" s="73" t="s">
        <v>57</v>
      </c>
      <c r="M67" s="73"/>
      <c r="N67" s="183" t="s">
        <v>57</v>
      </c>
      <c r="O67" s="74"/>
      <c r="P67" s="58"/>
      <c r="Q67" s="58"/>
      <c r="R67" s="58"/>
      <c r="S67" s="58"/>
      <c r="T67" s="58"/>
      <c r="U67" s="58" t="s">
        <v>57</v>
      </c>
      <c r="V67" s="238"/>
    </row>
    <row r="68" spans="1:22" ht="27" customHeight="1">
      <c r="A68" s="306" t="s">
        <v>118</v>
      </c>
      <c r="B68" s="312" t="s">
        <v>189</v>
      </c>
      <c r="C68" s="49"/>
      <c r="D68" s="73">
        <v>6</v>
      </c>
      <c r="E68" s="48"/>
      <c r="F68" s="50"/>
      <c r="G68" s="182">
        <f>H68/36</f>
        <v>3</v>
      </c>
      <c r="H68" s="71">
        <v>108</v>
      </c>
      <c r="I68" s="381"/>
      <c r="J68" s="70">
        <v>52</v>
      </c>
      <c r="K68" s="73">
        <f>H68-J68</f>
        <v>56</v>
      </c>
      <c r="L68" s="73">
        <v>20</v>
      </c>
      <c r="M68" s="73"/>
      <c r="N68" s="183">
        <v>32</v>
      </c>
      <c r="O68" s="74"/>
      <c r="P68" s="58"/>
      <c r="Q68" s="58"/>
      <c r="R68" s="58"/>
      <c r="S68" s="58"/>
      <c r="T68" s="58">
        <v>52</v>
      </c>
      <c r="U68" s="58"/>
      <c r="V68" s="238"/>
    </row>
    <row r="69" spans="1:22">
      <c r="A69" s="306" t="s">
        <v>119</v>
      </c>
      <c r="B69" s="312" t="s">
        <v>190</v>
      </c>
      <c r="C69" s="49"/>
      <c r="D69" s="73" t="s">
        <v>57</v>
      </c>
      <c r="E69" s="48"/>
      <c r="F69" s="50"/>
      <c r="G69" s="182" t="s">
        <v>57</v>
      </c>
      <c r="H69" s="71" t="s">
        <v>57</v>
      </c>
      <c r="I69" s="381"/>
      <c r="J69" s="70" t="s">
        <v>57</v>
      </c>
      <c r="K69" s="73" t="s">
        <v>57</v>
      </c>
      <c r="L69" s="73" t="s">
        <v>57</v>
      </c>
      <c r="M69" s="73"/>
      <c r="N69" s="183" t="s">
        <v>57</v>
      </c>
      <c r="O69" s="74"/>
      <c r="P69" s="58"/>
      <c r="Q69" s="58"/>
      <c r="R69" s="58"/>
      <c r="S69" s="58"/>
      <c r="T69" s="58" t="s">
        <v>57</v>
      </c>
      <c r="U69" s="58"/>
      <c r="V69" s="238"/>
    </row>
    <row r="70" spans="1:22">
      <c r="A70" s="306" t="s">
        <v>120</v>
      </c>
      <c r="B70" s="311" t="s">
        <v>191</v>
      </c>
      <c r="C70" s="49"/>
      <c r="D70" s="73">
        <v>8</v>
      </c>
      <c r="E70" s="48"/>
      <c r="F70" s="50"/>
      <c r="G70" s="182">
        <f>H70/36</f>
        <v>3</v>
      </c>
      <c r="H70" s="71">
        <v>108</v>
      </c>
      <c r="I70" s="381"/>
      <c r="J70" s="70">
        <v>48</v>
      </c>
      <c r="K70" s="73">
        <f>H70-J70</f>
        <v>60</v>
      </c>
      <c r="L70" s="73">
        <v>24</v>
      </c>
      <c r="M70" s="73"/>
      <c r="N70" s="183">
        <v>24</v>
      </c>
      <c r="O70" s="76"/>
      <c r="P70" s="59"/>
      <c r="Q70" s="59"/>
      <c r="R70" s="59"/>
      <c r="S70" s="59"/>
      <c r="T70" s="59"/>
      <c r="U70" s="59"/>
      <c r="V70" s="253">
        <v>48</v>
      </c>
    </row>
    <row r="71" spans="1:22">
      <c r="A71" s="306" t="s">
        <v>121</v>
      </c>
      <c r="B71" s="312" t="s">
        <v>192</v>
      </c>
      <c r="C71" s="49"/>
      <c r="D71" s="73" t="s">
        <v>57</v>
      </c>
      <c r="E71" s="48"/>
      <c r="F71" s="50"/>
      <c r="G71" s="182" t="s">
        <v>57</v>
      </c>
      <c r="H71" s="71" t="s">
        <v>57</v>
      </c>
      <c r="I71" s="381"/>
      <c r="J71" s="70" t="s">
        <v>57</v>
      </c>
      <c r="K71" s="73" t="s">
        <v>57</v>
      </c>
      <c r="L71" s="73" t="s">
        <v>57</v>
      </c>
      <c r="M71" s="73"/>
      <c r="N71" s="183" t="s">
        <v>57</v>
      </c>
      <c r="O71" s="76"/>
      <c r="P71" s="59"/>
      <c r="Q71" s="59"/>
      <c r="R71" s="59"/>
      <c r="S71" s="59"/>
      <c r="T71" s="59"/>
      <c r="U71" s="59"/>
      <c r="V71" s="253" t="s">
        <v>57</v>
      </c>
    </row>
    <row r="72" spans="1:22" ht="24">
      <c r="A72" s="306" t="s">
        <v>245</v>
      </c>
      <c r="B72" s="326" t="s">
        <v>194</v>
      </c>
      <c r="C72" s="72"/>
      <c r="D72" s="246" t="s">
        <v>210</v>
      </c>
      <c r="E72" s="194"/>
      <c r="F72" s="195"/>
      <c r="G72" s="182">
        <f t="shared" ref="G72" si="10">H72/36</f>
        <v>3</v>
      </c>
      <c r="H72" s="185">
        <v>108</v>
      </c>
      <c r="I72" s="381"/>
      <c r="J72" s="187">
        <v>54</v>
      </c>
      <c r="K72" s="73">
        <f t="shared" ref="K72" si="11">H72-J72</f>
        <v>54</v>
      </c>
      <c r="L72" s="184">
        <v>20</v>
      </c>
      <c r="M72" s="184"/>
      <c r="N72" s="186">
        <v>34</v>
      </c>
      <c r="O72" s="76"/>
      <c r="P72" s="59"/>
      <c r="Q72" s="59"/>
      <c r="R72" s="59"/>
      <c r="S72" s="59"/>
      <c r="T72" s="59"/>
      <c r="U72" s="59">
        <v>54</v>
      </c>
      <c r="V72" s="253"/>
    </row>
    <row r="73" spans="1:22" ht="12.75" customHeight="1">
      <c r="A73" s="306" t="s">
        <v>246</v>
      </c>
      <c r="B73" s="320" t="s">
        <v>193</v>
      </c>
      <c r="C73" s="72"/>
      <c r="D73" s="205" t="s">
        <v>57</v>
      </c>
      <c r="E73" s="67"/>
      <c r="F73" s="68"/>
      <c r="G73" s="188" t="s">
        <v>57</v>
      </c>
      <c r="H73" s="185" t="s">
        <v>57</v>
      </c>
      <c r="I73" s="387"/>
      <c r="J73" s="187" t="s">
        <v>57</v>
      </c>
      <c r="K73" s="184" t="s">
        <v>57</v>
      </c>
      <c r="L73" s="184" t="s">
        <v>57</v>
      </c>
      <c r="M73" s="184"/>
      <c r="N73" s="186" t="s">
        <v>57</v>
      </c>
      <c r="O73" s="76"/>
      <c r="P73" s="59"/>
      <c r="Q73" s="59"/>
      <c r="R73" s="59"/>
      <c r="S73" s="59"/>
      <c r="T73" s="59"/>
      <c r="U73" s="59" t="s">
        <v>57</v>
      </c>
      <c r="V73" s="253"/>
    </row>
    <row r="74" spans="1:22" ht="27" customHeight="1" thickBot="1">
      <c r="A74" s="307"/>
      <c r="B74" s="327"/>
      <c r="C74" s="69"/>
      <c r="D74" s="55"/>
      <c r="E74" s="55"/>
      <c r="F74" s="57"/>
      <c r="G74" s="79"/>
      <c r="H74" s="57"/>
      <c r="I74" s="388"/>
      <c r="J74" s="54"/>
      <c r="K74" s="55"/>
      <c r="L74" s="55"/>
      <c r="M74" s="55"/>
      <c r="N74" s="56"/>
      <c r="O74" s="69"/>
      <c r="P74" s="228"/>
      <c r="Q74" s="228"/>
      <c r="R74" s="228"/>
      <c r="S74" s="55"/>
      <c r="T74" s="55"/>
      <c r="U74" s="55"/>
      <c r="V74" s="57"/>
    </row>
    <row r="75" spans="1:22" ht="26.25" customHeight="1" thickBot="1">
      <c r="A75" s="142"/>
      <c r="B75" s="143" t="s">
        <v>219</v>
      </c>
      <c r="C75" s="144">
        <v>32</v>
      </c>
      <c r="D75" s="145">
        <v>34</v>
      </c>
      <c r="E75" s="146">
        <v>1</v>
      </c>
      <c r="F75" s="147">
        <v>5</v>
      </c>
      <c r="G75" s="148">
        <f t="shared" ref="G75:N75" si="12">G8</f>
        <v>216</v>
      </c>
      <c r="H75" s="149">
        <f t="shared" si="12"/>
        <v>7776</v>
      </c>
      <c r="I75" s="389">
        <v>576</v>
      </c>
      <c r="J75" s="150">
        <f t="shared" si="12"/>
        <v>3546</v>
      </c>
      <c r="K75" s="151">
        <f t="shared" si="12"/>
        <v>4230</v>
      </c>
      <c r="L75" s="151">
        <f t="shared" si="12"/>
        <v>1518</v>
      </c>
      <c r="M75" s="151">
        <f t="shared" si="12"/>
        <v>552</v>
      </c>
      <c r="N75" s="152">
        <f t="shared" si="12"/>
        <v>1476</v>
      </c>
      <c r="O75" s="153">
        <v>27</v>
      </c>
      <c r="P75" s="145">
        <v>28</v>
      </c>
      <c r="Q75" s="145">
        <v>26</v>
      </c>
      <c r="R75" s="145">
        <v>25</v>
      </c>
      <c r="S75" s="145">
        <v>26</v>
      </c>
      <c r="T75" s="145">
        <v>26</v>
      </c>
      <c r="U75" s="145">
        <v>27</v>
      </c>
      <c r="V75" s="154">
        <v>27</v>
      </c>
    </row>
    <row r="76" spans="1:22" ht="26.25" customHeight="1" thickBot="1">
      <c r="A76" s="155"/>
      <c r="B76" s="156" t="s">
        <v>175</v>
      </c>
      <c r="C76" s="157"/>
      <c r="D76" s="158" t="s">
        <v>212</v>
      </c>
      <c r="E76" s="159"/>
      <c r="F76" s="160"/>
      <c r="G76" s="161"/>
      <c r="H76" s="162">
        <f>J76+K76</f>
        <v>328</v>
      </c>
      <c r="I76" s="390"/>
      <c r="J76" s="163">
        <f>L76+N76</f>
        <v>328</v>
      </c>
      <c r="K76" s="159"/>
      <c r="L76" s="159"/>
      <c r="M76" s="159"/>
      <c r="N76" s="160">
        <v>328</v>
      </c>
      <c r="O76" s="164">
        <v>54</v>
      </c>
      <c r="P76" s="159">
        <v>54</v>
      </c>
      <c r="Q76" s="159">
        <v>54</v>
      </c>
      <c r="R76" s="159">
        <v>54</v>
      </c>
      <c r="S76" s="159">
        <v>54</v>
      </c>
      <c r="T76" s="159">
        <v>58</v>
      </c>
      <c r="U76" s="159"/>
      <c r="V76" s="165"/>
    </row>
    <row r="77" spans="1:22" ht="13.5" customHeight="1">
      <c r="A77" s="278" t="s">
        <v>69</v>
      </c>
      <c r="B77" s="89" t="s">
        <v>62</v>
      </c>
      <c r="C77" s="90"/>
      <c r="D77" s="91"/>
      <c r="E77" s="92"/>
      <c r="F77" s="93"/>
      <c r="G77" s="75">
        <f>G78</f>
        <v>15</v>
      </c>
      <c r="H77" s="94">
        <f>H78</f>
        <v>540</v>
      </c>
      <c r="I77" s="391"/>
      <c r="J77" s="95"/>
      <c r="K77" s="92"/>
      <c r="L77" s="92"/>
      <c r="M77" s="92"/>
      <c r="N77" s="93"/>
      <c r="O77" s="96"/>
      <c r="P77" s="92"/>
      <c r="Q77" s="92"/>
      <c r="R77" s="92"/>
      <c r="S77" s="92"/>
      <c r="T77" s="92"/>
      <c r="U77" s="92"/>
      <c r="V77" s="269"/>
    </row>
    <row r="78" spans="1:22" ht="13.5" customHeight="1">
      <c r="A78" s="111" t="s">
        <v>100</v>
      </c>
      <c r="B78" s="97" t="s">
        <v>48</v>
      </c>
      <c r="C78" s="98"/>
      <c r="D78" s="99"/>
      <c r="E78" s="100"/>
      <c r="F78" s="101"/>
      <c r="G78" s="102">
        <f>G79+G82</f>
        <v>15</v>
      </c>
      <c r="H78" s="103">
        <f>H79+H82</f>
        <v>540</v>
      </c>
      <c r="I78" s="387"/>
      <c r="J78" s="104"/>
      <c r="K78" s="100"/>
      <c r="L78" s="100"/>
      <c r="M78" s="100"/>
      <c r="N78" s="101"/>
      <c r="O78" s="105"/>
      <c r="P78" s="106"/>
      <c r="Q78" s="106"/>
      <c r="R78" s="106"/>
      <c r="S78" s="106"/>
      <c r="T78" s="106"/>
      <c r="U78" s="106"/>
      <c r="V78" s="279"/>
    </row>
    <row r="79" spans="1:22">
      <c r="A79" s="111" t="s">
        <v>132</v>
      </c>
      <c r="B79" s="97" t="s">
        <v>137</v>
      </c>
      <c r="C79" s="107"/>
      <c r="D79" s="108"/>
      <c r="E79" s="109"/>
      <c r="F79" s="110"/>
      <c r="G79" s="111">
        <f>G80+G81</f>
        <v>6</v>
      </c>
      <c r="H79" s="112">
        <f>H80+H81</f>
        <v>216</v>
      </c>
      <c r="I79" s="392"/>
      <c r="J79" s="61"/>
      <c r="K79" s="113"/>
      <c r="L79" s="113"/>
      <c r="M79" s="59"/>
      <c r="N79" s="114"/>
      <c r="O79" s="74"/>
      <c r="P79" s="115"/>
      <c r="Q79" s="58"/>
      <c r="R79" s="115"/>
      <c r="S79" s="58"/>
      <c r="T79" s="58"/>
      <c r="U79" s="58"/>
      <c r="V79" s="238"/>
    </row>
    <row r="80" spans="1:22" ht="62.25" customHeight="1">
      <c r="A80" s="120" t="s">
        <v>134</v>
      </c>
      <c r="B80" s="117" t="s">
        <v>229</v>
      </c>
      <c r="C80" s="118"/>
      <c r="D80" s="119"/>
      <c r="E80" s="59"/>
      <c r="F80" s="114"/>
      <c r="G80" s="120">
        <v>2</v>
      </c>
      <c r="H80" s="121">
        <v>72</v>
      </c>
      <c r="I80" s="393"/>
      <c r="J80" s="61"/>
      <c r="K80" s="113"/>
      <c r="L80" s="113"/>
      <c r="M80" s="59"/>
      <c r="N80" s="114"/>
      <c r="O80" s="76"/>
      <c r="P80" s="109" t="s">
        <v>34</v>
      </c>
      <c r="Q80" s="122"/>
      <c r="R80" s="122"/>
      <c r="S80" s="122"/>
      <c r="T80" s="122"/>
      <c r="U80" s="59"/>
      <c r="V80" s="253"/>
    </row>
    <row r="81" spans="1:22" ht="60.75" customHeight="1" thickBot="1">
      <c r="A81" s="280" t="s">
        <v>145</v>
      </c>
      <c r="B81" s="133" t="s">
        <v>230</v>
      </c>
      <c r="C81" s="134"/>
      <c r="D81" s="135"/>
      <c r="E81" s="136"/>
      <c r="F81" s="137"/>
      <c r="G81" s="280">
        <v>4</v>
      </c>
      <c r="H81" s="138">
        <v>144</v>
      </c>
      <c r="I81" s="394"/>
      <c r="J81" s="139"/>
      <c r="K81" s="343"/>
      <c r="L81" s="343"/>
      <c r="M81" s="136"/>
      <c r="N81" s="137"/>
      <c r="O81" s="140"/>
      <c r="P81" s="344"/>
      <c r="Q81" s="345"/>
      <c r="R81" s="346" t="s">
        <v>34</v>
      </c>
      <c r="S81" s="345"/>
      <c r="T81" s="345"/>
      <c r="U81" s="136"/>
      <c r="V81" s="244"/>
    </row>
    <row r="82" spans="1:22" ht="18.75" customHeight="1">
      <c r="A82" s="102" t="s">
        <v>133</v>
      </c>
      <c r="B82" s="336" t="s">
        <v>138</v>
      </c>
      <c r="C82" s="337"/>
      <c r="D82" s="338"/>
      <c r="E82" s="339"/>
      <c r="F82" s="340"/>
      <c r="G82" s="102">
        <f>G83+G84</f>
        <v>9</v>
      </c>
      <c r="H82" s="341">
        <f>H83+H84</f>
        <v>324</v>
      </c>
      <c r="I82" s="395"/>
      <c r="J82" s="104"/>
      <c r="K82" s="100"/>
      <c r="L82" s="100"/>
      <c r="M82" s="100"/>
      <c r="N82" s="101"/>
      <c r="O82" s="130"/>
      <c r="P82" s="100"/>
      <c r="Q82" s="100"/>
      <c r="R82" s="131"/>
      <c r="S82" s="100"/>
      <c r="T82" s="339"/>
      <c r="U82" s="100"/>
      <c r="V82" s="342"/>
    </row>
    <row r="83" spans="1:22" ht="51.75" customHeight="1">
      <c r="A83" s="120" t="s">
        <v>135</v>
      </c>
      <c r="B83" s="117" t="s">
        <v>231</v>
      </c>
      <c r="C83" s="118"/>
      <c r="D83" s="119"/>
      <c r="E83" s="59"/>
      <c r="F83" s="114"/>
      <c r="G83" s="120">
        <f>H83/36</f>
        <v>3</v>
      </c>
      <c r="H83" s="121">
        <v>108</v>
      </c>
      <c r="I83" s="396"/>
      <c r="J83" s="61"/>
      <c r="K83" s="59"/>
      <c r="L83" s="59"/>
      <c r="M83" s="59"/>
      <c r="N83" s="114"/>
      <c r="O83" s="76"/>
      <c r="P83" s="59"/>
      <c r="Q83" s="59"/>
      <c r="R83" s="123"/>
      <c r="S83" s="59"/>
      <c r="T83" s="59" t="s">
        <v>34</v>
      </c>
      <c r="U83" s="59"/>
      <c r="V83" s="253"/>
    </row>
    <row r="84" spans="1:22" ht="13.5" thickBot="1">
      <c r="A84" s="280" t="s">
        <v>136</v>
      </c>
      <c r="B84" s="133" t="s">
        <v>232</v>
      </c>
      <c r="C84" s="134"/>
      <c r="D84" s="135"/>
      <c r="E84" s="136"/>
      <c r="F84" s="137"/>
      <c r="G84" s="280">
        <f>H84/36</f>
        <v>6</v>
      </c>
      <c r="H84" s="138">
        <v>216</v>
      </c>
      <c r="I84" s="397"/>
      <c r="J84" s="139"/>
      <c r="K84" s="136"/>
      <c r="L84" s="136"/>
      <c r="M84" s="136"/>
      <c r="N84" s="137"/>
      <c r="O84" s="140"/>
      <c r="P84" s="136"/>
      <c r="Q84" s="136"/>
      <c r="R84" s="141"/>
      <c r="S84" s="136"/>
      <c r="T84" s="136"/>
      <c r="U84" s="136"/>
      <c r="V84" s="244" t="s">
        <v>34</v>
      </c>
    </row>
    <row r="85" spans="1:22" ht="12.75" customHeight="1">
      <c r="A85" s="270"/>
      <c r="B85" s="271"/>
      <c r="C85" s="272"/>
      <c r="D85" s="273"/>
      <c r="E85" s="236"/>
      <c r="F85" s="274"/>
      <c r="G85" s="275"/>
      <c r="H85" s="276"/>
      <c r="I85" s="398"/>
      <c r="J85" s="248"/>
      <c r="K85" s="236"/>
      <c r="L85" s="236"/>
      <c r="M85" s="236"/>
      <c r="N85" s="274"/>
      <c r="O85" s="227"/>
      <c r="P85" s="236"/>
      <c r="Q85" s="236"/>
      <c r="R85" s="277"/>
      <c r="S85" s="236"/>
      <c r="T85" s="171"/>
      <c r="U85" s="236"/>
      <c r="V85" s="176"/>
    </row>
    <row r="86" spans="1:22" ht="25.5">
      <c r="A86" s="126" t="s">
        <v>70</v>
      </c>
      <c r="B86" s="127" t="s">
        <v>63</v>
      </c>
      <c r="C86" s="98"/>
      <c r="D86" s="98"/>
      <c r="E86" s="100"/>
      <c r="F86" s="101"/>
      <c r="G86" s="128">
        <f>G87+G88</f>
        <v>9</v>
      </c>
      <c r="H86" s="129">
        <f>H87+H88</f>
        <v>324</v>
      </c>
      <c r="I86" s="399"/>
      <c r="J86" s="104"/>
      <c r="K86" s="100"/>
      <c r="L86" s="100"/>
      <c r="M86" s="100"/>
      <c r="N86" s="101"/>
      <c r="O86" s="130"/>
      <c r="P86" s="100"/>
      <c r="Q86" s="100"/>
      <c r="R86" s="131"/>
      <c r="S86" s="100"/>
      <c r="T86" s="100"/>
      <c r="U86" s="100"/>
      <c r="V86" s="166"/>
    </row>
    <row r="87" spans="1:22">
      <c r="A87" s="132"/>
      <c r="B87" s="117" t="s">
        <v>10</v>
      </c>
      <c r="C87" s="118"/>
      <c r="D87" s="119"/>
      <c r="E87" s="59"/>
      <c r="F87" s="114"/>
      <c r="G87" s="125">
        <v>1.5</v>
      </c>
      <c r="H87" s="121">
        <v>54</v>
      </c>
      <c r="I87" s="396"/>
      <c r="J87" s="61"/>
      <c r="K87" s="59"/>
      <c r="L87" s="59"/>
      <c r="M87" s="59"/>
      <c r="N87" s="114"/>
      <c r="O87" s="76"/>
      <c r="P87" s="59"/>
      <c r="Q87" s="59"/>
      <c r="R87" s="123"/>
      <c r="S87" s="59"/>
      <c r="T87" s="59"/>
      <c r="U87" s="59"/>
      <c r="V87" s="60" t="s">
        <v>34</v>
      </c>
    </row>
    <row r="88" spans="1:22" ht="13.5" customHeight="1" thickBot="1">
      <c r="A88" s="132"/>
      <c r="B88" s="117" t="s">
        <v>9</v>
      </c>
      <c r="C88" s="118"/>
      <c r="D88" s="119"/>
      <c r="E88" s="59"/>
      <c r="F88" s="114"/>
      <c r="G88" s="120">
        <v>7.5</v>
      </c>
      <c r="H88" s="121">
        <v>270</v>
      </c>
      <c r="I88" s="400"/>
      <c r="J88" s="61"/>
      <c r="K88" s="59"/>
      <c r="L88" s="59"/>
      <c r="M88" s="59"/>
      <c r="N88" s="114"/>
      <c r="O88" s="76"/>
      <c r="P88" s="59"/>
      <c r="Q88" s="59"/>
      <c r="R88" s="123"/>
      <c r="S88" s="59"/>
      <c r="T88" s="59"/>
      <c r="U88" s="59"/>
      <c r="V88" s="60" t="s">
        <v>34</v>
      </c>
    </row>
    <row r="89" spans="1:22" ht="19.5" customHeight="1" thickBot="1">
      <c r="A89" s="287"/>
      <c r="B89" s="288" t="s">
        <v>50</v>
      </c>
      <c r="C89" s="289"/>
      <c r="D89" s="290"/>
      <c r="E89" s="202"/>
      <c r="F89" s="291"/>
      <c r="G89" s="292">
        <v>240</v>
      </c>
      <c r="H89" s="293">
        <v>8968</v>
      </c>
      <c r="I89" s="401"/>
      <c r="J89" s="201"/>
      <c r="K89" s="202"/>
      <c r="L89" s="202"/>
      <c r="M89" s="202"/>
      <c r="N89" s="291"/>
      <c r="O89" s="294"/>
      <c r="P89" s="202"/>
      <c r="Q89" s="202"/>
      <c r="R89" s="295"/>
      <c r="S89" s="202"/>
      <c r="T89" s="202"/>
      <c r="U89" s="202"/>
      <c r="V89" s="296"/>
    </row>
    <row r="90" spans="1:22" ht="12.75" customHeight="1">
      <c r="A90" s="126" t="s">
        <v>26</v>
      </c>
      <c r="B90" s="127" t="s">
        <v>33</v>
      </c>
      <c r="C90" s="98"/>
      <c r="D90" s="99"/>
      <c r="E90" s="100"/>
      <c r="F90" s="101"/>
      <c r="G90" s="168"/>
      <c r="H90" s="129"/>
      <c r="I90" s="398"/>
      <c r="J90" s="104"/>
      <c r="K90" s="100"/>
      <c r="L90" s="100"/>
      <c r="M90" s="100"/>
      <c r="N90" s="101"/>
      <c r="O90" s="130"/>
      <c r="P90" s="100"/>
      <c r="Q90" s="100"/>
      <c r="R90" s="131"/>
      <c r="S90" s="100"/>
      <c r="T90" s="100"/>
      <c r="U90" s="100"/>
      <c r="V90" s="166"/>
    </row>
    <row r="91" spans="1:22" ht="24">
      <c r="A91" s="116" t="s">
        <v>225</v>
      </c>
      <c r="B91" s="124" t="s">
        <v>176</v>
      </c>
      <c r="C91" s="118"/>
      <c r="D91" s="119">
        <v>6</v>
      </c>
      <c r="E91" s="59"/>
      <c r="F91" s="114"/>
      <c r="G91" s="120">
        <v>18</v>
      </c>
      <c r="H91" s="121">
        <v>648</v>
      </c>
      <c r="I91" s="402"/>
      <c r="J91" s="61">
        <v>648</v>
      </c>
      <c r="K91" s="59">
        <v>0</v>
      </c>
      <c r="L91" s="59"/>
      <c r="M91" s="59"/>
      <c r="N91" s="114">
        <v>648</v>
      </c>
      <c r="O91" s="76">
        <v>108</v>
      </c>
      <c r="P91" s="59">
        <v>108</v>
      </c>
      <c r="Q91" s="59">
        <v>108</v>
      </c>
      <c r="R91" s="123">
        <v>108</v>
      </c>
      <c r="S91" s="59">
        <v>108</v>
      </c>
      <c r="T91" s="59">
        <v>108</v>
      </c>
      <c r="U91" s="59"/>
      <c r="V91" s="60"/>
    </row>
    <row r="92" spans="1:22">
      <c r="A92" s="116" t="s">
        <v>226</v>
      </c>
      <c r="B92" s="117" t="s">
        <v>198</v>
      </c>
      <c r="C92" s="118"/>
      <c r="D92" s="119">
        <v>6</v>
      </c>
      <c r="E92" s="59"/>
      <c r="F92" s="114"/>
      <c r="G92" s="120">
        <v>8</v>
      </c>
      <c r="H92" s="121">
        <v>288</v>
      </c>
      <c r="I92" s="399"/>
      <c r="J92" s="61">
        <v>144</v>
      </c>
      <c r="K92" s="59">
        <v>144</v>
      </c>
      <c r="L92" s="59"/>
      <c r="M92" s="59"/>
      <c r="N92" s="114">
        <v>144</v>
      </c>
      <c r="O92" s="76"/>
      <c r="P92" s="59"/>
      <c r="Q92" s="59"/>
      <c r="R92" s="123"/>
      <c r="S92" s="59">
        <v>72</v>
      </c>
      <c r="T92" s="59">
        <v>72</v>
      </c>
      <c r="U92" s="59"/>
      <c r="V92" s="60"/>
    </row>
    <row r="93" spans="1:22">
      <c r="A93" s="116" t="s">
        <v>227</v>
      </c>
      <c r="B93" s="117" t="s">
        <v>199</v>
      </c>
      <c r="C93" s="118"/>
      <c r="D93" s="119" t="s">
        <v>174</v>
      </c>
      <c r="E93" s="59"/>
      <c r="F93" s="114"/>
      <c r="G93" s="120">
        <v>2</v>
      </c>
      <c r="H93" s="121">
        <v>72</v>
      </c>
      <c r="I93" s="399"/>
      <c r="J93" s="61">
        <v>36</v>
      </c>
      <c r="K93" s="59">
        <v>36</v>
      </c>
      <c r="L93" s="59">
        <v>18</v>
      </c>
      <c r="M93" s="59"/>
      <c r="N93" s="114">
        <v>18</v>
      </c>
      <c r="O93" s="76"/>
      <c r="P93" s="59"/>
      <c r="Q93" s="59"/>
      <c r="R93" s="123"/>
      <c r="S93" s="59">
        <v>36</v>
      </c>
      <c r="T93" s="59"/>
      <c r="U93" s="59"/>
      <c r="V93" s="60"/>
    </row>
    <row r="94" spans="1:22" ht="26.25" customHeight="1" thickBot="1">
      <c r="A94" s="297" t="s">
        <v>242</v>
      </c>
      <c r="B94" s="133" t="s">
        <v>240</v>
      </c>
      <c r="C94" s="134"/>
      <c r="D94" s="135" t="s">
        <v>241</v>
      </c>
      <c r="E94" s="136"/>
      <c r="F94" s="137"/>
      <c r="G94" s="280">
        <v>2</v>
      </c>
      <c r="H94" s="138">
        <v>72</v>
      </c>
      <c r="I94" s="403"/>
      <c r="J94" s="139">
        <v>36</v>
      </c>
      <c r="K94" s="136">
        <v>36</v>
      </c>
      <c r="L94" s="136">
        <v>18</v>
      </c>
      <c r="M94" s="136"/>
      <c r="N94" s="137">
        <v>18</v>
      </c>
      <c r="O94" s="140"/>
      <c r="P94" s="136"/>
      <c r="Q94" s="136"/>
      <c r="R94" s="141"/>
      <c r="S94" s="136"/>
      <c r="T94" s="136">
        <v>36</v>
      </c>
      <c r="U94" s="136"/>
      <c r="V94" s="167"/>
    </row>
    <row r="97" spans="2:15" ht="15.75">
      <c r="B97" s="370" t="s">
        <v>262</v>
      </c>
      <c r="C97" s="371"/>
      <c r="D97" s="371"/>
      <c r="E97" s="372"/>
      <c r="F97" s="372"/>
      <c r="G97" s="371"/>
      <c r="H97" s="371"/>
      <c r="I97" s="404"/>
      <c r="J97" s="371"/>
      <c r="K97" s="484" t="s">
        <v>178</v>
      </c>
      <c r="L97" s="484"/>
      <c r="M97" s="484"/>
      <c r="N97" s="484"/>
      <c r="O97" s="484"/>
    </row>
    <row r="98" spans="2:15" ht="15.75">
      <c r="B98" s="371"/>
      <c r="C98" s="371"/>
      <c r="D98" s="371"/>
      <c r="E98" s="372"/>
      <c r="F98" s="372"/>
      <c r="G98" s="371"/>
      <c r="H98" s="371"/>
      <c r="I98" s="404"/>
      <c r="J98" s="371"/>
      <c r="K98" s="371"/>
      <c r="L98" s="371"/>
      <c r="M98" s="371"/>
      <c r="N98" s="371"/>
      <c r="O98" s="371"/>
    </row>
    <row r="99" spans="2:15" ht="15.75">
      <c r="B99" s="371" t="s">
        <v>263</v>
      </c>
      <c r="C99" s="371"/>
      <c r="D99" s="371"/>
      <c r="E99" s="372"/>
      <c r="F99" s="372"/>
      <c r="G99" s="371"/>
      <c r="H99" s="371"/>
      <c r="I99" s="404"/>
      <c r="J99" s="371"/>
      <c r="K99" s="484" t="s">
        <v>140</v>
      </c>
      <c r="L99" s="484"/>
      <c r="M99" s="484"/>
      <c r="N99" s="484"/>
      <c r="O99" s="484"/>
    </row>
    <row r="100" spans="2:15" ht="15">
      <c r="B100" s="371"/>
      <c r="C100" s="371"/>
      <c r="D100" s="371"/>
      <c r="E100" s="372"/>
      <c r="F100" s="372"/>
      <c r="G100" s="371"/>
      <c r="H100" s="371"/>
      <c r="J100" s="371"/>
      <c r="K100" s="371"/>
      <c r="L100" s="371"/>
      <c r="M100" s="371"/>
      <c r="N100" s="371"/>
      <c r="O100" s="371"/>
    </row>
  </sheetData>
  <mergeCells count="26">
    <mergeCell ref="K97:O97"/>
    <mergeCell ref="K99:O99"/>
    <mergeCell ref="I3:I6"/>
    <mergeCell ref="U3:V3"/>
    <mergeCell ref="O6:V6"/>
    <mergeCell ref="F3:F6"/>
    <mergeCell ref="M3:M6"/>
    <mergeCell ref="O3:P3"/>
    <mergeCell ref="Q3:R3"/>
    <mergeCell ref="S3:T3"/>
    <mergeCell ref="A1:V1"/>
    <mergeCell ref="A2:A6"/>
    <mergeCell ref="B2:B6"/>
    <mergeCell ref="C2:F2"/>
    <mergeCell ref="G2:H2"/>
    <mergeCell ref="J2:N2"/>
    <mergeCell ref="G3:G6"/>
    <mergeCell ref="H3:H6"/>
    <mergeCell ref="J3:J6"/>
    <mergeCell ref="K3:K6"/>
    <mergeCell ref="L3:L6"/>
    <mergeCell ref="N3:N6"/>
    <mergeCell ref="O2:V2"/>
    <mergeCell ref="C3:C6"/>
    <mergeCell ref="D3:D6"/>
    <mergeCell ref="E3:E6"/>
  </mergeCells>
  <printOptions horizontalCentered="1"/>
  <pageMargins left="0" right="0" top="0.78740157480314965" bottom="0.39370078740157483" header="0.39370078740157483" footer="0"/>
  <pageSetup paperSize="9" scale="95" fitToHeight="4" orientation="landscape" r:id="rId1"/>
  <headerFooter scaleWithDoc="0">
    <oddHeader xml:space="preserve">&amp;R&amp;8Переходный учебный план для набора обучающихся на 2015-2016 уч.г 
 09.03.01 Информатика и вычислительная техника
  Страниц  &amp;N+2    Страница  &amp;P+1
</oddHeader>
  </headerFooter>
  <rowBreaks count="2" manualBreakCount="2">
    <brk id="28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D36"/>
  <sheetViews>
    <sheetView topLeftCell="J1" zoomScaleNormal="100" workbookViewId="0">
      <selection activeCell="N15" sqref="N15:AB15"/>
    </sheetView>
  </sheetViews>
  <sheetFormatPr defaultRowHeight="12.75"/>
  <cols>
    <col min="1" max="1" width="7.42578125" customWidth="1"/>
    <col min="2" max="4" width="4.85546875" customWidth="1"/>
    <col min="5" max="5" width="16" customWidth="1"/>
    <col min="6" max="6" width="7.140625" customWidth="1"/>
    <col min="7" max="7" width="5.140625" customWidth="1"/>
    <col min="8" max="8" width="6.85546875" customWidth="1"/>
    <col min="9" max="9" width="7.42578125" customWidth="1"/>
    <col min="10" max="12" width="4.85546875" customWidth="1"/>
    <col min="13" max="13" width="8.85546875" customWidth="1"/>
    <col min="14" max="14" width="7.140625" customWidth="1"/>
    <col min="15" max="15" width="5.140625" customWidth="1"/>
    <col min="16" max="16" width="6.85546875" customWidth="1"/>
    <col min="17" max="20" width="4.28515625" customWidth="1"/>
    <col min="21" max="21" width="5" customWidth="1"/>
    <col min="22" max="22" width="4.7109375" customWidth="1"/>
    <col min="23" max="23" width="5.28515625" customWidth="1"/>
    <col min="24" max="24" width="4.85546875" customWidth="1"/>
    <col min="25" max="28" width="4.28515625" customWidth="1"/>
    <col min="29" max="30" width="4.85546875" customWidth="1"/>
    <col min="31" max="51" width="4.5703125" customWidth="1"/>
  </cols>
  <sheetData>
    <row r="1" spans="1:30" ht="15.75" customHeight="1" thickBot="1">
      <c r="A1" s="555" t="s">
        <v>213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</row>
    <row r="2" spans="1:30" ht="35.25" customHeight="1" thickTop="1">
      <c r="A2" s="556" t="s">
        <v>238</v>
      </c>
      <c r="B2" s="557"/>
      <c r="C2" s="557"/>
      <c r="D2" s="557"/>
      <c r="E2" s="557"/>
      <c r="F2" s="557"/>
      <c r="G2" s="557"/>
      <c r="H2" s="558"/>
      <c r="I2" s="559" t="s">
        <v>239</v>
      </c>
      <c r="J2" s="557"/>
      <c r="K2" s="557"/>
      <c r="L2" s="557"/>
      <c r="M2" s="557"/>
      <c r="N2" s="557"/>
      <c r="O2" s="557"/>
      <c r="P2" s="560"/>
      <c r="Q2" s="638" t="s">
        <v>221</v>
      </c>
      <c r="R2" s="639"/>
      <c r="S2" s="639"/>
      <c r="T2" s="639"/>
      <c r="U2" s="639"/>
      <c r="V2" s="639"/>
      <c r="W2" s="638" t="s">
        <v>222</v>
      </c>
      <c r="X2" s="639"/>
      <c r="Y2" s="639"/>
      <c r="Z2" s="639"/>
      <c r="AA2" s="639"/>
      <c r="AB2" s="642"/>
      <c r="AD2" s="11"/>
    </row>
    <row r="3" spans="1:30" ht="12.75" customHeight="1">
      <c r="A3" s="540" t="s">
        <v>72</v>
      </c>
      <c r="B3" s="546" t="s">
        <v>237</v>
      </c>
      <c r="C3" s="547"/>
      <c r="D3" s="547"/>
      <c r="E3" s="548"/>
      <c r="F3" s="635" t="s">
        <v>12</v>
      </c>
      <c r="G3" s="635" t="s">
        <v>35</v>
      </c>
      <c r="H3" s="637"/>
      <c r="I3" s="543" t="s">
        <v>72</v>
      </c>
      <c r="J3" s="546" t="s">
        <v>237</v>
      </c>
      <c r="K3" s="547"/>
      <c r="L3" s="547"/>
      <c r="M3" s="548"/>
      <c r="N3" s="635" t="s">
        <v>12</v>
      </c>
      <c r="O3" s="635" t="s">
        <v>35</v>
      </c>
      <c r="P3" s="644"/>
      <c r="Q3" s="640"/>
      <c r="R3" s="641"/>
      <c r="S3" s="641"/>
      <c r="T3" s="641"/>
      <c r="U3" s="641"/>
      <c r="V3" s="641"/>
      <c r="W3" s="640"/>
      <c r="X3" s="641"/>
      <c r="Y3" s="641"/>
      <c r="Z3" s="641"/>
      <c r="AA3" s="641"/>
      <c r="AB3" s="643"/>
      <c r="AD3" s="11"/>
    </row>
    <row r="4" spans="1:30" ht="12.75" customHeight="1">
      <c r="A4" s="541"/>
      <c r="B4" s="549"/>
      <c r="C4" s="550"/>
      <c r="D4" s="550"/>
      <c r="E4" s="551"/>
      <c r="F4" s="568"/>
      <c r="G4" s="568" t="s">
        <v>41</v>
      </c>
      <c r="H4" s="546" t="s">
        <v>42</v>
      </c>
      <c r="I4" s="544"/>
      <c r="J4" s="549"/>
      <c r="K4" s="550"/>
      <c r="L4" s="550"/>
      <c r="M4" s="551"/>
      <c r="N4" s="568"/>
      <c r="O4" s="568" t="s">
        <v>41</v>
      </c>
      <c r="P4" s="570" t="s">
        <v>42</v>
      </c>
      <c r="Q4" s="572" t="s">
        <v>12</v>
      </c>
      <c r="R4" s="573"/>
      <c r="S4" s="561" t="s">
        <v>35</v>
      </c>
      <c r="T4" s="562"/>
      <c r="U4" s="562"/>
      <c r="V4" s="562"/>
      <c r="W4" s="576" t="s">
        <v>12</v>
      </c>
      <c r="X4" s="573"/>
      <c r="Y4" s="561" t="s">
        <v>35</v>
      </c>
      <c r="Z4" s="562"/>
      <c r="AA4" s="562"/>
      <c r="AB4" s="563"/>
      <c r="AD4" s="11"/>
    </row>
    <row r="5" spans="1:30" ht="12.75" customHeight="1" thickBot="1">
      <c r="A5" s="542"/>
      <c r="B5" s="552"/>
      <c r="C5" s="553"/>
      <c r="D5" s="553"/>
      <c r="E5" s="554"/>
      <c r="F5" s="636"/>
      <c r="G5" s="569"/>
      <c r="H5" s="634"/>
      <c r="I5" s="545"/>
      <c r="J5" s="552"/>
      <c r="K5" s="553"/>
      <c r="L5" s="553"/>
      <c r="M5" s="554"/>
      <c r="N5" s="636"/>
      <c r="O5" s="569"/>
      <c r="P5" s="571"/>
      <c r="Q5" s="574"/>
      <c r="R5" s="575"/>
      <c r="S5" s="564" t="s">
        <v>41</v>
      </c>
      <c r="T5" s="565"/>
      <c r="U5" s="564" t="s">
        <v>42</v>
      </c>
      <c r="V5" s="566"/>
      <c r="W5" s="577"/>
      <c r="X5" s="575"/>
      <c r="Y5" s="564" t="s">
        <v>41</v>
      </c>
      <c r="Z5" s="565"/>
      <c r="AA5" s="564" t="s">
        <v>42</v>
      </c>
      <c r="AB5" s="567"/>
      <c r="AD5" s="11"/>
    </row>
    <row r="6" spans="1:30" ht="12.75" customHeight="1">
      <c r="A6" s="655" t="s">
        <v>134</v>
      </c>
      <c r="B6" s="587" t="s">
        <v>233</v>
      </c>
      <c r="C6" s="588"/>
      <c r="D6" s="588"/>
      <c r="E6" s="589"/>
      <c r="F6" s="652">
        <v>2</v>
      </c>
      <c r="G6" s="709">
        <v>2</v>
      </c>
      <c r="H6" s="672">
        <v>1.3333333333333333</v>
      </c>
      <c r="I6" s="680" t="s">
        <v>135</v>
      </c>
      <c r="J6" s="587" t="s">
        <v>235</v>
      </c>
      <c r="K6" s="588"/>
      <c r="L6" s="588"/>
      <c r="M6" s="589"/>
      <c r="N6" s="652">
        <v>6</v>
      </c>
      <c r="O6" s="652">
        <v>3</v>
      </c>
      <c r="P6" s="685">
        <v>2</v>
      </c>
      <c r="Q6" s="614">
        <v>8</v>
      </c>
      <c r="R6" s="579"/>
      <c r="S6" s="608">
        <v>1.5</v>
      </c>
      <c r="T6" s="617"/>
      <c r="U6" s="608">
        <v>1</v>
      </c>
      <c r="V6" s="620"/>
      <c r="W6" s="578">
        <v>8</v>
      </c>
      <c r="X6" s="579"/>
      <c r="Y6" s="608">
        <v>7.5</v>
      </c>
      <c r="Z6" s="617"/>
      <c r="AA6" s="608">
        <v>5</v>
      </c>
      <c r="AB6" s="609"/>
      <c r="AD6" s="11"/>
    </row>
    <row r="7" spans="1:30" ht="9.75" customHeight="1">
      <c r="A7" s="656"/>
      <c r="B7" s="590"/>
      <c r="C7" s="591"/>
      <c r="D7" s="591"/>
      <c r="E7" s="592"/>
      <c r="F7" s="653"/>
      <c r="G7" s="676"/>
      <c r="H7" s="673"/>
      <c r="I7" s="681"/>
      <c r="J7" s="590"/>
      <c r="K7" s="591"/>
      <c r="L7" s="591"/>
      <c r="M7" s="592"/>
      <c r="N7" s="653"/>
      <c r="O7" s="653"/>
      <c r="P7" s="686"/>
      <c r="Q7" s="615"/>
      <c r="R7" s="581"/>
      <c r="S7" s="610"/>
      <c r="T7" s="618"/>
      <c r="U7" s="610"/>
      <c r="V7" s="621"/>
      <c r="W7" s="580"/>
      <c r="X7" s="581"/>
      <c r="Y7" s="610"/>
      <c r="Z7" s="618"/>
      <c r="AA7" s="610"/>
      <c r="AB7" s="611"/>
      <c r="AD7" s="11"/>
    </row>
    <row r="8" spans="1:30" ht="19.5" hidden="1" customHeight="1">
      <c r="A8" s="657"/>
      <c r="B8" s="590"/>
      <c r="C8" s="591"/>
      <c r="D8" s="591"/>
      <c r="E8" s="592"/>
      <c r="F8" s="654"/>
      <c r="G8" s="710"/>
      <c r="H8" s="674"/>
      <c r="I8" s="682"/>
      <c r="J8" s="593"/>
      <c r="K8" s="594"/>
      <c r="L8" s="594"/>
      <c r="M8" s="595"/>
      <c r="N8" s="654"/>
      <c r="O8" s="654"/>
      <c r="P8" s="687"/>
      <c r="Q8" s="615"/>
      <c r="R8" s="581"/>
      <c r="S8" s="610"/>
      <c r="T8" s="618"/>
      <c r="U8" s="610"/>
      <c r="V8" s="621"/>
      <c r="W8" s="580"/>
      <c r="X8" s="581"/>
      <c r="Y8" s="610"/>
      <c r="Z8" s="618"/>
      <c r="AA8" s="610"/>
      <c r="AB8" s="611"/>
      <c r="AD8" s="11"/>
    </row>
    <row r="9" spans="1:30" ht="12.75" customHeight="1">
      <c r="A9" s="658" t="s">
        <v>145</v>
      </c>
      <c r="B9" s="645" t="s">
        <v>234</v>
      </c>
      <c r="C9" s="646"/>
      <c r="D9" s="646"/>
      <c r="E9" s="647"/>
      <c r="F9" s="669">
        <v>4</v>
      </c>
      <c r="G9" s="675">
        <v>4</v>
      </c>
      <c r="H9" s="678">
        <v>2.6666666666666665</v>
      </c>
      <c r="I9" s="683" t="s">
        <v>136</v>
      </c>
      <c r="J9" s="660" t="s">
        <v>236</v>
      </c>
      <c r="K9" s="661"/>
      <c r="L9" s="661"/>
      <c r="M9" s="662"/>
      <c r="N9" s="675">
        <v>8</v>
      </c>
      <c r="O9" s="675">
        <v>6</v>
      </c>
      <c r="P9" s="688">
        <v>4</v>
      </c>
      <c r="Q9" s="615"/>
      <c r="R9" s="581"/>
      <c r="S9" s="610"/>
      <c r="T9" s="618"/>
      <c r="U9" s="610"/>
      <c r="V9" s="621"/>
      <c r="W9" s="580"/>
      <c r="X9" s="581"/>
      <c r="Y9" s="610"/>
      <c r="Z9" s="618"/>
      <c r="AA9" s="610"/>
      <c r="AB9" s="611"/>
      <c r="AD9" s="11"/>
    </row>
    <row r="10" spans="1:30" ht="9.75" customHeight="1" thickBot="1">
      <c r="A10" s="656"/>
      <c r="B10" s="590"/>
      <c r="C10" s="648"/>
      <c r="D10" s="648"/>
      <c r="E10" s="592"/>
      <c r="F10" s="670"/>
      <c r="G10" s="676"/>
      <c r="H10" s="673"/>
      <c r="I10" s="681"/>
      <c r="J10" s="663"/>
      <c r="K10" s="664"/>
      <c r="L10" s="664"/>
      <c r="M10" s="665"/>
      <c r="N10" s="676"/>
      <c r="O10" s="676"/>
      <c r="P10" s="673"/>
      <c r="Q10" s="615"/>
      <c r="R10" s="581"/>
      <c r="S10" s="610"/>
      <c r="T10" s="618"/>
      <c r="U10" s="610"/>
      <c r="V10" s="621"/>
      <c r="W10" s="580"/>
      <c r="X10" s="581"/>
      <c r="Y10" s="610"/>
      <c r="Z10" s="618"/>
      <c r="AA10" s="610"/>
      <c r="AB10" s="611"/>
      <c r="AD10" s="11"/>
    </row>
    <row r="11" spans="1:30" ht="20.25" hidden="1" customHeight="1" thickBot="1">
      <c r="A11" s="659"/>
      <c r="B11" s="649"/>
      <c r="C11" s="650"/>
      <c r="D11" s="650"/>
      <c r="E11" s="651"/>
      <c r="F11" s="671"/>
      <c r="G11" s="677"/>
      <c r="H11" s="679"/>
      <c r="I11" s="684"/>
      <c r="J11" s="666"/>
      <c r="K11" s="667"/>
      <c r="L11" s="667"/>
      <c r="M11" s="668"/>
      <c r="N11" s="677"/>
      <c r="O11" s="677"/>
      <c r="P11" s="679"/>
      <c r="Q11" s="615"/>
      <c r="R11" s="581"/>
      <c r="S11" s="610"/>
      <c r="T11" s="618"/>
      <c r="U11" s="610"/>
      <c r="V11" s="621"/>
      <c r="W11" s="580"/>
      <c r="X11" s="581"/>
      <c r="Y11" s="610"/>
      <c r="Z11" s="618"/>
      <c r="AA11" s="610"/>
      <c r="AB11" s="611"/>
      <c r="AD11" s="11"/>
    </row>
    <row r="12" spans="1:30" ht="13.5" thickBot="1">
      <c r="A12" s="32"/>
      <c r="B12" s="584" t="s">
        <v>13</v>
      </c>
      <c r="C12" s="585"/>
      <c r="D12" s="585"/>
      <c r="E12" s="586"/>
      <c r="F12" s="33"/>
      <c r="G12" s="34">
        <f>G6+G7+G9</f>
        <v>6</v>
      </c>
      <c r="H12" s="42">
        <f>SUM(H6:H9)</f>
        <v>4</v>
      </c>
      <c r="I12" s="35"/>
      <c r="J12" s="584" t="s">
        <v>13</v>
      </c>
      <c r="K12" s="585"/>
      <c r="L12" s="585"/>
      <c r="M12" s="586"/>
      <c r="N12" s="33"/>
      <c r="O12" s="34">
        <f>SUM(O6:O9)</f>
        <v>9</v>
      </c>
      <c r="P12" s="43">
        <f>SUM(P6:P9)</f>
        <v>6</v>
      </c>
      <c r="Q12" s="616"/>
      <c r="R12" s="583"/>
      <c r="S12" s="612"/>
      <c r="T12" s="619"/>
      <c r="U12" s="612"/>
      <c r="V12" s="622"/>
      <c r="W12" s="582"/>
      <c r="X12" s="583"/>
      <c r="Y12" s="612"/>
      <c r="Z12" s="619"/>
      <c r="AA12" s="612"/>
      <c r="AB12" s="613"/>
      <c r="AD12" s="11"/>
    </row>
    <row r="13" spans="1:30" ht="13.5" thickTop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D13" s="11"/>
    </row>
    <row r="14" spans="1:30" ht="13.5" customHeight="1">
      <c r="A14" s="629" t="s">
        <v>214</v>
      </c>
      <c r="B14" s="605"/>
      <c r="C14" s="605"/>
      <c r="D14" s="605"/>
      <c r="E14" s="605"/>
      <c r="F14" s="605"/>
      <c r="G14" s="605"/>
      <c r="H14" s="605"/>
      <c r="I14" s="605"/>
      <c r="J14" s="605"/>
      <c r="K14" s="605"/>
      <c r="L14" s="20"/>
      <c r="M14" s="19"/>
      <c r="N14" s="604" t="s">
        <v>54</v>
      </c>
      <c r="O14" s="605"/>
      <c r="P14" s="605"/>
      <c r="Q14" s="605"/>
      <c r="R14" s="605"/>
      <c r="S14" s="605"/>
      <c r="T14" s="605"/>
      <c r="U14" s="605"/>
      <c r="V14" s="605"/>
      <c r="W14" s="605"/>
      <c r="X14" s="605"/>
      <c r="Y14" s="605"/>
      <c r="Z14" s="605"/>
      <c r="AA14" s="605"/>
      <c r="AB14" s="605"/>
    </row>
    <row r="15" spans="1:30" ht="15.75" customHeight="1" thickBot="1">
      <c r="A15" s="629" t="s">
        <v>53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20"/>
      <c r="M15" s="36"/>
      <c r="N15" s="606" t="s">
        <v>52</v>
      </c>
      <c r="O15" s="607"/>
      <c r="P15" s="607"/>
      <c r="Q15" s="607"/>
      <c r="R15" s="607"/>
      <c r="S15" s="607"/>
      <c r="T15" s="607"/>
      <c r="U15" s="607"/>
      <c r="V15" s="607"/>
      <c r="W15" s="607"/>
      <c r="X15" s="607"/>
      <c r="Y15" s="607"/>
      <c r="Z15" s="607"/>
      <c r="AA15" s="607"/>
      <c r="AB15" s="607"/>
    </row>
    <row r="16" spans="1:30" ht="12.75" customHeight="1" thickTop="1">
      <c r="A16" s="596" t="s">
        <v>215</v>
      </c>
      <c r="B16" s="597"/>
      <c r="C16" s="600" t="s">
        <v>11</v>
      </c>
      <c r="D16" s="601"/>
      <c r="E16" s="601" t="s">
        <v>48</v>
      </c>
      <c r="F16" s="601"/>
      <c r="G16" s="601" t="s">
        <v>49</v>
      </c>
      <c r="H16" s="695"/>
      <c r="I16" s="697" t="s">
        <v>3</v>
      </c>
      <c r="J16" s="698"/>
      <c r="K16" s="699"/>
      <c r="L16" s="19"/>
      <c r="M16" s="20"/>
      <c r="N16" s="626" t="s">
        <v>59</v>
      </c>
      <c r="O16" s="627"/>
      <c r="P16" s="627"/>
      <c r="Q16" s="627"/>
      <c r="R16" s="631" t="s">
        <v>3</v>
      </c>
      <c r="S16" s="627"/>
      <c r="T16" s="632"/>
      <c r="U16" s="623" t="s">
        <v>43</v>
      </c>
      <c r="V16" s="624"/>
      <c r="W16" s="624"/>
      <c r="X16" s="624"/>
      <c r="Y16" s="624"/>
      <c r="Z16" s="624"/>
      <c r="AA16" s="624"/>
      <c r="AB16" s="625"/>
    </row>
    <row r="17" spans="1:28" ht="13.5" customHeight="1" thickBot="1">
      <c r="A17" s="598"/>
      <c r="B17" s="599"/>
      <c r="C17" s="602"/>
      <c r="D17" s="603"/>
      <c r="E17" s="603"/>
      <c r="F17" s="603"/>
      <c r="G17" s="603"/>
      <c r="H17" s="696"/>
      <c r="I17" s="700"/>
      <c r="J17" s="701"/>
      <c r="K17" s="702"/>
      <c r="L17" s="19"/>
      <c r="M17" s="20"/>
      <c r="N17" s="628" t="s">
        <v>55</v>
      </c>
      <c r="O17" s="553"/>
      <c r="P17" s="553"/>
      <c r="Q17" s="553"/>
      <c r="R17" s="545"/>
      <c r="S17" s="553"/>
      <c r="T17" s="633"/>
      <c r="U17" s="211">
        <v>1</v>
      </c>
      <c r="V17" s="212">
        <v>2</v>
      </c>
      <c r="W17" s="212">
        <v>3</v>
      </c>
      <c r="X17" s="212">
        <v>4</v>
      </c>
      <c r="Y17" s="212">
        <v>5</v>
      </c>
      <c r="Z17" s="212">
        <v>6</v>
      </c>
      <c r="AA17" s="212">
        <v>7</v>
      </c>
      <c r="AB17" s="213">
        <v>8</v>
      </c>
    </row>
    <row r="18" spans="1:28" ht="12.75" customHeight="1" thickBot="1">
      <c r="A18" s="519" t="s">
        <v>71</v>
      </c>
      <c r="B18" s="520"/>
      <c r="C18" s="521">
        <v>95</v>
      </c>
      <c r="D18" s="522"/>
      <c r="E18" s="522">
        <v>121</v>
      </c>
      <c r="F18" s="522"/>
      <c r="G18" s="522">
        <v>37</v>
      </c>
      <c r="H18" s="523"/>
      <c r="I18" s="706">
        <f>C18+E18</f>
        <v>216</v>
      </c>
      <c r="J18" s="707"/>
      <c r="K18" s="708"/>
      <c r="L18" s="19"/>
      <c r="M18" s="20"/>
      <c r="N18" s="493" t="s">
        <v>44</v>
      </c>
      <c r="O18" s="494"/>
      <c r="P18" s="494"/>
      <c r="Q18" s="494"/>
      <c r="R18" s="505">
        <v>240</v>
      </c>
      <c r="S18" s="506"/>
      <c r="T18" s="507"/>
      <c r="U18" s="214">
        <v>27.5</v>
      </c>
      <c r="V18" s="215">
        <v>32.5</v>
      </c>
      <c r="W18" s="215">
        <v>30</v>
      </c>
      <c r="X18" s="215">
        <v>30</v>
      </c>
      <c r="Y18" s="215">
        <v>30</v>
      </c>
      <c r="Z18" s="215">
        <v>29.5</v>
      </c>
      <c r="AA18" s="215">
        <v>30</v>
      </c>
      <c r="AB18" s="216">
        <v>30</v>
      </c>
    </row>
    <row r="19" spans="1:28" ht="13.5" customHeight="1" thickBot="1">
      <c r="A19" s="529" t="s">
        <v>69</v>
      </c>
      <c r="B19" s="530"/>
      <c r="C19" s="537" t="s">
        <v>62</v>
      </c>
      <c r="D19" s="538"/>
      <c r="E19" s="538"/>
      <c r="F19" s="538"/>
      <c r="G19" s="538"/>
      <c r="H19" s="539"/>
      <c r="I19" s="531">
        <v>15</v>
      </c>
      <c r="J19" s="532"/>
      <c r="K19" s="533"/>
      <c r="L19" s="19"/>
      <c r="M19" s="20"/>
      <c r="N19" s="493" t="s">
        <v>45</v>
      </c>
      <c r="O19" s="494"/>
      <c r="P19" s="494"/>
      <c r="Q19" s="494"/>
      <c r="R19" s="508">
        <f t="shared" ref="R19:R24" si="0">U19+V19+W19+X19+Y19+Z19+AA19+AB19</f>
        <v>3546</v>
      </c>
      <c r="S19" s="509"/>
      <c r="T19" s="510"/>
      <c r="U19" s="201">
        <v>486</v>
      </c>
      <c r="V19" s="202">
        <v>504</v>
      </c>
      <c r="W19" s="202">
        <v>468</v>
      </c>
      <c r="X19" s="202">
        <v>450</v>
      </c>
      <c r="Y19" s="202">
        <v>468</v>
      </c>
      <c r="Z19" s="202">
        <v>468</v>
      </c>
      <c r="AA19" s="202">
        <v>486</v>
      </c>
      <c r="AB19" s="203">
        <v>216</v>
      </c>
    </row>
    <row r="20" spans="1:28" ht="13.5" customHeight="1" thickBot="1">
      <c r="A20" s="524" t="s">
        <v>70</v>
      </c>
      <c r="B20" s="525"/>
      <c r="C20" s="534" t="s">
        <v>63</v>
      </c>
      <c r="D20" s="535"/>
      <c r="E20" s="535"/>
      <c r="F20" s="535"/>
      <c r="G20" s="535"/>
      <c r="H20" s="536"/>
      <c r="I20" s="526">
        <v>9</v>
      </c>
      <c r="J20" s="527"/>
      <c r="K20" s="528"/>
      <c r="L20" s="19"/>
      <c r="M20" s="20"/>
      <c r="N20" s="495" t="s">
        <v>7</v>
      </c>
      <c r="O20" s="496"/>
      <c r="P20" s="496"/>
      <c r="Q20" s="496"/>
      <c r="R20" s="511">
        <v>32</v>
      </c>
      <c r="S20" s="512"/>
      <c r="T20" s="513"/>
      <c r="U20" s="217">
        <v>4</v>
      </c>
      <c r="V20" s="218">
        <v>4</v>
      </c>
      <c r="W20" s="218">
        <v>5</v>
      </c>
      <c r="X20" s="218">
        <v>4</v>
      </c>
      <c r="Y20" s="218">
        <v>5</v>
      </c>
      <c r="Z20" s="218">
        <v>3</v>
      </c>
      <c r="AA20" s="218">
        <v>4</v>
      </c>
      <c r="AB20" s="219">
        <v>3</v>
      </c>
    </row>
    <row r="21" spans="1:28" ht="13.5" customHeight="1" thickBot="1">
      <c r="A21" s="514"/>
      <c r="B21" s="515"/>
      <c r="C21" s="516" t="s">
        <v>50</v>
      </c>
      <c r="D21" s="517"/>
      <c r="E21" s="517"/>
      <c r="F21" s="517"/>
      <c r="G21" s="517"/>
      <c r="H21" s="518"/>
      <c r="I21" s="703">
        <f>I18+I19+I20</f>
        <v>240</v>
      </c>
      <c r="J21" s="704"/>
      <c r="K21" s="705"/>
      <c r="L21" s="19"/>
      <c r="M21" s="20"/>
      <c r="N21" s="691" t="s">
        <v>16</v>
      </c>
      <c r="O21" s="692"/>
      <c r="P21" s="692"/>
      <c r="Q21" s="692"/>
      <c r="R21" s="500">
        <v>29</v>
      </c>
      <c r="S21" s="501"/>
      <c r="T21" s="502"/>
      <c r="U21" s="220">
        <v>5</v>
      </c>
      <c r="V21" s="209">
        <v>4</v>
      </c>
      <c r="W21" s="209">
        <v>3</v>
      </c>
      <c r="X21" s="209">
        <v>4</v>
      </c>
      <c r="Y21" s="209">
        <v>2</v>
      </c>
      <c r="Z21" s="209">
        <v>5</v>
      </c>
      <c r="AA21" s="209">
        <v>4</v>
      </c>
      <c r="AB21" s="210">
        <v>2</v>
      </c>
    </row>
    <row r="22" spans="1:28" ht="12.75" customHeight="1" thickTop="1">
      <c r="A22" s="37"/>
      <c r="B22" s="38"/>
      <c r="C22" s="39"/>
      <c r="D22" s="39"/>
      <c r="E22" s="39"/>
      <c r="F22" s="39"/>
      <c r="G22" s="39"/>
      <c r="H22" s="39"/>
      <c r="I22" s="40"/>
      <c r="J22" s="40"/>
      <c r="K22" s="41"/>
      <c r="L22" s="19"/>
      <c r="M22" s="20"/>
      <c r="N22" s="691" t="s">
        <v>46</v>
      </c>
      <c r="O22" s="692"/>
      <c r="P22" s="692"/>
      <c r="Q22" s="692"/>
      <c r="R22" s="500">
        <f t="shared" si="0"/>
        <v>5</v>
      </c>
      <c r="S22" s="501"/>
      <c r="T22" s="502"/>
      <c r="U22" s="220">
        <v>1</v>
      </c>
      <c r="V22" s="209">
        <v>2</v>
      </c>
      <c r="W22" s="209"/>
      <c r="X22" s="209"/>
      <c r="Y22" s="209">
        <v>1</v>
      </c>
      <c r="Z22" s="52"/>
      <c r="AA22" s="209">
        <v>1</v>
      </c>
      <c r="AB22" s="53"/>
    </row>
    <row r="23" spans="1:28" ht="12.75" customHeight="1">
      <c r="A23" s="37"/>
      <c r="B23" s="38"/>
      <c r="C23" s="39"/>
      <c r="D23" s="39"/>
      <c r="E23" s="39"/>
      <c r="F23" s="39"/>
      <c r="G23" s="39"/>
      <c r="H23" s="39"/>
      <c r="I23" s="46"/>
      <c r="J23" s="46"/>
      <c r="K23" s="47"/>
      <c r="L23" s="19"/>
      <c r="M23" s="20"/>
      <c r="N23" s="691" t="s">
        <v>147</v>
      </c>
      <c r="O23" s="693"/>
      <c r="P23" s="693"/>
      <c r="Q23" s="694"/>
      <c r="R23" s="500">
        <v>1</v>
      </c>
      <c r="S23" s="503"/>
      <c r="T23" s="504"/>
      <c r="U23" s="221"/>
      <c r="V23" s="222"/>
      <c r="W23" s="222"/>
      <c r="X23" s="222"/>
      <c r="Y23" s="222"/>
      <c r="Z23" s="222"/>
      <c r="AA23" s="222">
        <v>1</v>
      </c>
      <c r="AB23" s="223"/>
    </row>
    <row r="24" spans="1:28" ht="13.5" customHeight="1" thickBot="1">
      <c r="A24" s="37"/>
      <c r="B24" s="37"/>
      <c r="C24" s="39"/>
      <c r="D24" s="39"/>
      <c r="E24" s="39"/>
      <c r="F24" s="39"/>
      <c r="G24" s="39"/>
      <c r="H24" s="39"/>
      <c r="I24" s="40"/>
      <c r="J24" s="40"/>
      <c r="K24" s="41"/>
      <c r="L24" s="19"/>
      <c r="M24" s="20"/>
      <c r="N24" s="689" t="s">
        <v>6</v>
      </c>
      <c r="O24" s="690"/>
      <c r="P24" s="690"/>
      <c r="Q24" s="690"/>
      <c r="R24" s="497">
        <f t="shared" si="0"/>
        <v>5</v>
      </c>
      <c r="S24" s="498"/>
      <c r="T24" s="499"/>
      <c r="U24" s="224"/>
      <c r="V24" s="225"/>
      <c r="W24" s="225">
        <v>1</v>
      </c>
      <c r="X24" s="225">
        <v>1</v>
      </c>
      <c r="Y24" s="225">
        <v>1</v>
      </c>
      <c r="Z24" s="225">
        <v>1</v>
      </c>
      <c r="AA24" s="225"/>
      <c r="AB24" s="226">
        <v>1</v>
      </c>
    </row>
    <row r="25" spans="1:28" ht="13.5" thickTop="1">
      <c r="A25" s="17"/>
      <c r="B25" s="18"/>
      <c r="C25" s="18"/>
      <c r="D25" s="18"/>
      <c r="E25" s="18"/>
      <c r="F25" s="18"/>
      <c r="G25" s="18"/>
      <c r="H25" s="18"/>
      <c r="I25" s="17"/>
      <c r="J25" s="17"/>
      <c r="K25" s="18"/>
      <c r="M25" s="1"/>
      <c r="O25" s="21"/>
      <c r="P25" s="22"/>
      <c r="Q25" s="22"/>
      <c r="R25" s="22"/>
      <c r="S25" s="23"/>
      <c r="T25" s="24"/>
      <c r="U25" s="25"/>
      <c r="V25" s="25"/>
      <c r="W25" s="25"/>
      <c r="X25" s="25"/>
      <c r="Y25" s="25"/>
      <c r="Z25" s="25"/>
      <c r="AA25" s="25"/>
      <c r="AB25" s="25"/>
    </row>
    <row r="26" spans="1:28">
      <c r="D26" s="3" t="s">
        <v>27</v>
      </c>
    </row>
    <row r="27" spans="1:28" ht="18.75" customHeight="1">
      <c r="B27" s="14"/>
      <c r="D27" s="3" t="s">
        <v>47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2"/>
      <c r="Z27" s="15"/>
      <c r="AA27" s="15"/>
      <c r="AB27" s="15"/>
    </row>
    <row r="28" spans="1:28" ht="18.75" customHeight="1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5"/>
      <c r="Z28" s="15"/>
      <c r="AA28" s="15"/>
      <c r="AB28" s="15"/>
    </row>
    <row r="29" spans="1:28">
      <c r="A29" s="14"/>
      <c r="C29" s="14"/>
      <c r="E29" s="2" t="s">
        <v>216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6"/>
      <c r="AA29" s="14"/>
      <c r="AB29" s="14"/>
    </row>
    <row r="30" spans="1:28" ht="18.75" customHeight="1">
      <c r="A30" s="14"/>
      <c r="C30" s="14"/>
      <c r="E30" s="2" t="s">
        <v>217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491" t="s">
        <v>218</v>
      </c>
      <c r="U30" s="491"/>
      <c r="V30" s="491"/>
      <c r="W30" s="491"/>
      <c r="X30" s="491"/>
      <c r="Y30" s="491"/>
      <c r="AA30" s="14"/>
      <c r="AB30" s="14"/>
    </row>
    <row r="31" spans="1:28" ht="18.75" customHeight="1">
      <c r="A31" s="14"/>
      <c r="B31" s="2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>
      <c r="A32" s="14"/>
      <c r="C32" s="14"/>
      <c r="D32" s="14"/>
      <c r="E32" s="2" t="s">
        <v>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Y32" s="14"/>
      <c r="Z32" s="14"/>
      <c r="AA32" s="14"/>
      <c r="AB32" s="14"/>
    </row>
    <row r="33" spans="1:28" ht="18.75" customHeight="1">
      <c r="A33" s="14"/>
      <c r="C33" s="14"/>
      <c r="D33" s="14"/>
      <c r="E33" s="2" t="s">
        <v>28</v>
      </c>
      <c r="G33" s="14"/>
      <c r="H33" s="14"/>
      <c r="I33" s="14"/>
      <c r="J33" s="14"/>
      <c r="L33" s="14"/>
      <c r="M33" s="14"/>
      <c r="O33" t="s">
        <v>51</v>
      </c>
      <c r="R33" s="26"/>
      <c r="S33" s="492" t="s">
        <v>139</v>
      </c>
      <c r="T33" s="492"/>
      <c r="U33" s="492"/>
      <c r="V33" s="492"/>
      <c r="W33" s="14"/>
      <c r="Y33" s="14"/>
      <c r="Z33" s="14"/>
      <c r="AA33" s="14"/>
      <c r="AB33" s="14"/>
    </row>
    <row r="34" spans="1:28" ht="19.5" customHeight="1">
      <c r="A34" s="14"/>
      <c r="C34" s="14"/>
      <c r="D34" s="14"/>
      <c r="E34" s="2" t="s">
        <v>141</v>
      </c>
      <c r="G34" s="14"/>
      <c r="H34" s="14"/>
      <c r="I34" s="14"/>
      <c r="J34" s="14"/>
      <c r="O34" t="s">
        <v>51</v>
      </c>
      <c r="R34" s="26"/>
      <c r="S34" s="492" t="s">
        <v>140</v>
      </c>
      <c r="T34" s="492"/>
      <c r="U34" s="492"/>
      <c r="V34" s="492"/>
      <c r="W34" s="14"/>
      <c r="Y34" s="14"/>
      <c r="Z34" s="14"/>
      <c r="AA34" s="14"/>
      <c r="AB34" s="14"/>
    </row>
    <row r="35" spans="1:28" ht="18" customHeight="1">
      <c r="A35" s="14"/>
      <c r="C35" s="14"/>
      <c r="D35" s="14"/>
      <c r="E35" s="2" t="s">
        <v>177</v>
      </c>
      <c r="G35" s="14"/>
      <c r="H35" s="14"/>
      <c r="I35" s="14"/>
      <c r="J35" s="14"/>
      <c r="L35" s="14"/>
      <c r="M35" s="14"/>
      <c r="O35" t="s">
        <v>51</v>
      </c>
      <c r="R35" s="26"/>
      <c r="S35" s="492" t="s">
        <v>178</v>
      </c>
      <c r="T35" s="492"/>
      <c r="U35" s="492"/>
      <c r="V35" s="492"/>
      <c r="W35" s="14"/>
      <c r="Y35" s="14"/>
      <c r="Z35" s="14"/>
      <c r="AA35" s="14"/>
      <c r="AB35" s="14"/>
    </row>
    <row r="36" spans="1:28" ht="18" customHeight="1">
      <c r="E36" s="491" t="s">
        <v>228</v>
      </c>
      <c r="F36" s="491"/>
      <c r="G36" s="491"/>
      <c r="H36" s="491"/>
      <c r="I36" s="491"/>
      <c r="J36" s="491"/>
      <c r="K36" s="491"/>
      <c r="L36" s="491"/>
      <c r="M36" s="491"/>
      <c r="O36" t="s">
        <v>223</v>
      </c>
      <c r="Q36" s="14"/>
      <c r="R36" s="14"/>
      <c r="S36" s="491" t="s">
        <v>224</v>
      </c>
      <c r="T36" s="491"/>
      <c r="U36" s="491"/>
      <c r="V36" s="491"/>
    </row>
  </sheetData>
  <mergeCells count="100">
    <mergeCell ref="E36:M36"/>
    <mergeCell ref="P6:P8"/>
    <mergeCell ref="N9:N11"/>
    <mergeCell ref="O9:O11"/>
    <mergeCell ref="P9:P11"/>
    <mergeCell ref="N24:Q24"/>
    <mergeCell ref="N21:Q21"/>
    <mergeCell ref="N22:Q22"/>
    <mergeCell ref="N23:Q23"/>
    <mergeCell ref="G16:H17"/>
    <mergeCell ref="I16:K17"/>
    <mergeCell ref="I21:K21"/>
    <mergeCell ref="I18:K18"/>
    <mergeCell ref="G6:G8"/>
    <mergeCell ref="N6:N8"/>
    <mergeCell ref="O6:O8"/>
    <mergeCell ref="A6:A8"/>
    <mergeCell ref="A9:A11"/>
    <mergeCell ref="J9:M11"/>
    <mergeCell ref="F9:F11"/>
    <mergeCell ref="H6:H8"/>
    <mergeCell ref="G9:G11"/>
    <mergeCell ref="H9:H11"/>
    <mergeCell ref="I6:I8"/>
    <mergeCell ref="I9:I11"/>
    <mergeCell ref="A14:K14"/>
    <mergeCell ref="A15:K15"/>
    <mergeCell ref="R16:T17"/>
    <mergeCell ref="J3:M5"/>
    <mergeCell ref="Y6:Z12"/>
    <mergeCell ref="B6:E8"/>
    <mergeCell ref="G4:G5"/>
    <mergeCell ref="H4:H5"/>
    <mergeCell ref="F3:F5"/>
    <mergeCell ref="G3:H3"/>
    <mergeCell ref="N3:N5"/>
    <mergeCell ref="Q2:V3"/>
    <mergeCell ref="W2:AB3"/>
    <mergeCell ref="O3:P3"/>
    <mergeCell ref="B9:E11"/>
    <mergeCell ref="F6:F8"/>
    <mergeCell ref="W6:X12"/>
    <mergeCell ref="B12:E12"/>
    <mergeCell ref="J12:M12"/>
    <mergeCell ref="J6:M8"/>
    <mergeCell ref="A16:B17"/>
    <mergeCell ref="C16:D17"/>
    <mergeCell ref="N14:AB14"/>
    <mergeCell ref="N15:AB15"/>
    <mergeCell ref="AA6:AB12"/>
    <mergeCell ref="Q6:R12"/>
    <mergeCell ref="S6:T12"/>
    <mergeCell ref="U6:V12"/>
    <mergeCell ref="E16:F17"/>
    <mergeCell ref="U16:AB16"/>
    <mergeCell ref="N16:Q16"/>
    <mergeCell ref="N17:Q17"/>
    <mergeCell ref="A3:A5"/>
    <mergeCell ref="I3:I5"/>
    <mergeCell ref="B3:E5"/>
    <mergeCell ref="A1:AB1"/>
    <mergeCell ref="A2:H2"/>
    <mergeCell ref="I2:P2"/>
    <mergeCell ref="Y4:AB4"/>
    <mergeCell ref="S5:T5"/>
    <mergeCell ref="U5:V5"/>
    <mergeCell ref="Y5:Z5"/>
    <mergeCell ref="AA5:AB5"/>
    <mergeCell ref="O4:O5"/>
    <mergeCell ref="P4:P5"/>
    <mergeCell ref="Q4:R5"/>
    <mergeCell ref="S4:V4"/>
    <mergeCell ref="W4:X5"/>
    <mergeCell ref="I20:K20"/>
    <mergeCell ref="A19:B19"/>
    <mergeCell ref="I19:K19"/>
    <mergeCell ref="C20:H20"/>
    <mergeCell ref="C19:H19"/>
    <mergeCell ref="A21:B21"/>
    <mergeCell ref="C21:H21"/>
    <mergeCell ref="A18:B18"/>
    <mergeCell ref="C18:D18"/>
    <mergeCell ref="E18:F18"/>
    <mergeCell ref="G18:H18"/>
    <mergeCell ref="A20:B20"/>
    <mergeCell ref="S36:V36"/>
    <mergeCell ref="S33:V33"/>
    <mergeCell ref="S34:V34"/>
    <mergeCell ref="S35:V35"/>
    <mergeCell ref="N18:Q18"/>
    <mergeCell ref="N19:Q19"/>
    <mergeCell ref="N20:Q20"/>
    <mergeCell ref="T30:Y30"/>
    <mergeCell ref="R24:T24"/>
    <mergeCell ref="R21:T21"/>
    <mergeCell ref="R22:T22"/>
    <mergeCell ref="R23:T23"/>
    <mergeCell ref="R18:T18"/>
    <mergeCell ref="R19:T19"/>
    <mergeCell ref="R20:T20"/>
  </mergeCells>
  <printOptions horizontalCentered="1"/>
  <pageMargins left="0" right="0" top="0.78740157480314965" bottom="0.19685039370078741" header="0.39370078740157483" footer="0"/>
  <pageSetup paperSize="9" scale="91" fitToWidth="0" fitToHeight="0" orientation="landscape" horizontalDpi="4294967293" verticalDpi="4294967293" r:id="rId1"/>
  <headerFooter scaleWithDoc="0">
    <oddHeader>&amp;R&amp;8Переходный учебный план для набора обучающихся на 2015 -2016 уч.г
09.03.01  Информатика и вычислительная техника
   Страниц  6    Страница  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График Учебного процесса</vt:lpstr>
      <vt:lpstr>План учебного процесса</vt:lpstr>
      <vt:lpstr>Сводные данные</vt:lpstr>
      <vt:lpstr>'План учебного процесса'!Заголовки_для_печати</vt:lpstr>
    </vt:vector>
  </TitlesOfParts>
  <Company>МГТУ ГА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UserPC12</cp:lastModifiedBy>
  <cp:lastPrinted>2019-02-21T14:59:27Z</cp:lastPrinted>
  <dcterms:created xsi:type="dcterms:W3CDTF">1995-05-04T06:05:42Z</dcterms:created>
  <dcterms:modified xsi:type="dcterms:W3CDTF">2020-03-27T23:56:45Z</dcterms:modified>
</cp:coreProperties>
</file>